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Tuning@20250506-19" sheetId="7" r:id="rId1"/>
    <sheet name="Annotation" sheetId="2" r:id="rId2"/>
    <sheet name="ISRT" sheetId="3" r:id="rId3"/>
    <sheet name="calNote" sheetId="4" r:id="rId4"/>
    <sheet name="Sheet1" sheetId="5" r:id="rId5"/>
    <sheet name="Sheet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<sst xmlns="http://schemas.openxmlformats.org/spreadsheetml/2006/main" count="943" uniqueCount="350">
  <si>
    <t>id</t>
  </si>
  <si>
    <t>Compound Name</t>
  </si>
  <si>
    <t>precursor_mz</t>
  </si>
  <si>
    <t>precursor_charge</t>
  </si>
  <si>
    <t>product_mz</t>
  </si>
  <si>
    <t>product_charge</t>
  </si>
  <si>
    <t>ratio_to</t>
  </si>
  <si>
    <t>rt_sec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</si>
  <si>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</si>
  <si>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</si>
  <si>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</si>
  <si>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</si>
  <si>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</si>
  <si>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</si>
  <si>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</si>
  <si>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</si>
  <si>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</si>
  <si>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</si>
  <si>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</si>
  <si>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</si>
  <si>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</si>
  <si>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</si>
  <si>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</si>
  <si>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</si>
  <si>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</si>
  <si>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</si>
  <si>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type</t>
  </si>
  <si>
    <t>conc</t>
  </si>
  <si>
    <t>product_rank</t>
  </si>
  <si>
    <t>product_ratio</t>
  </si>
  <si>
    <t>area_method</t>
  </si>
  <si>
    <t>rt_tol</t>
  </si>
  <si>
    <t>smooth</t>
  </si>
  <si>
    <t>baseline</t>
  </si>
  <si>
    <t>check</t>
  </si>
  <si>
    <t>alignment</t>
  </si>
  <si>
    <t>conc_mM</t>
  </si>
  <si>
    <t>(IS)2-Cl-phe-neg</t>
  </si>
  <si>
    <t>(IS)2-Cl-phe-neg-1</t>
  </si>
  <si>
    <t>ricker</t>
  </si>
  <si>
    <t>linear</t>
  </si>
  <si>
    <t>IS</t>
  </si>
  <si>
    <t>fit</t>
  </si>
  <si>
    <t>(IS)2-Cl-phe-pos</t>
  </si>
  <si>
    <t>(IS)2-Cl-phe-pos-1</t>
  </si>
  <si>
    <t>(IS)Adenosine-13C5-neg</t>
  </si>
  <si>
    <t>(IS)Adenosine-13C5-neg-1</t>
  </si>
  <si>
    <t>(IS)Adenosine-13C5-pos</t>
  </si>
  <si>
    <t>(IS)Adenosine-13C5-pos-1</t>
  </si>
  <si>
    <t>(IS)Betaine-d9-pos</t>
  </si>
  <si>
    <t>(IS)Betaine-d9-pos-1</t>
  </si>
  <si>
    <t>(IS)Citric acid-d4-neg</t>
  </si>
  <si>
    <t>(IS)Citric acid-d4-neg-1</t>
  </si>
  <si>
    <t>(IS)Glucose-13C6-neg</t>
  </si>
  <si>
    <t>(IS)Glucose-13C6-neg-1</t>
  </si>
  <si>
    <t>(IS)Glucose-6PA-13C6-neg</t>
  </si>
  <si>
    <t>(IS)Glucose-6PA-13C6-neg-1</t>
  </si>
  <si>
    <t>(IS)Hippuric Acid-d5-neg</t>
  </si>
  <si>
    <t>(IS)Hippuric Acid-d5-neg-1</t>
  </si>
  <si>
    <t>(IS)Indole-3-acetic acid-22-d2-neg</t>
  </si>
  <si>
    <t>(IS)Indole-3-acetic acid-22-d2-neg-1</t>
  </si>
  <si>
    <t>(IS)Indole-3-acetic acid-22-d2-pos</t>
  </si>
  <si>
    <t>(IS)Indole-3-acetic acid-22-d2-pos-1</t>
  </si>
  <si>
    <t>(IS)L-Glu-13C5,15N-neg</t>
  </si>
  <si>
    <t>(IS)L-Glu-13C5,15N-neg-1</t>
  </si>
  <si>
    <t>(IS)L-Glu-13C5,15N-pos</t>
  </si>
  <si>
    <t>(IS)L-Glu-13C5,15N-pos-1</t>
  </si>
  <si>
    <t>(IS)Lactic Acid-d3-neg</t>
  </si>
  <si>
    <t>(IS)Lactic Acid-d3-neg-1</t>
  </si>
  <si>
    <t>(IS)Leu-555-d3-pos</t>
  </si>
  <si>
    <t>(IS)Leu-555-d3-pos-1</t>
  </si>
  <si>
    <t>(IS)Succinic acid-d4-neg</t>
  </si>
  <si>
    <t>(IS)Succinic acid-d4-neg-1</t>
  </si>
  <si>
    <t>(IS)Uracil-d4-neg</t>
  </si>
  <si>
    <t>(IS)Uracil-d4-neg-1</t>
  </si>
  <si>
    <t>A0S3</t>
  </si>
  <si>
    <t>A0S3-Choline</t>
  </si>
  <si>
    <t>STD</t>
  </si>
  <si>
    <t>A0T1</t>
  </si>
  <si>
    <t>A0T1-Threonine</t>
  </si>
  <si>
    <t>A0T3</t>
  </si>
  <si>
    <t>A0T3-Cysteine</t>
  </si>
  <si>
    <t>A0T5</t>
  </si>
  <si>
    <t>A0T5-Nicotinamide</t>
  </si>
  <si>
    <t>A0T9</t>
  </si>
  <si>
    <t>A0T9-Leucine</t>
  </si>
  <si>
    <t>A0U0</t>
  </si>
  <si>
    <t>A0U0-Isoleucine</t>
  </si>
  <si>
    <t>A0U9</t>
  </si>
  <si>
    <t>A0U9-Histidine</t>
  </si>
  <si>
    <t>A0V2</t>
  </si>
  <si>
    <t>A0V2-Phenylalanine</t>
  </si>
  <si>
    <t>A0W4</t>
  </si>
  <si>
    <t>A0W4-Adenosine</t>
  </si>
  <si>
    <t>A0X2</t>
  </si>
  <si>
    <t>A0X2-1,4-Dihydronicotinamide adenine dinucleotide</t>
  </si>
  <si>
    <t>A0Y2</t>
  </si>
  <si>
    <t>A0Y2-Uracil</t>
  </si>
  <si>
    <t>A1B2</t>
  </si>
  <si>
    <t>A1B2-Isocitric acid</t>
  </si>
  <si>
    <t>A1B3</t>
  </si>
  <si>
    <t>A1B3-Citric acid</t>
  </si>
  <si>
    <t>A1Z1</t>
  </si>
  <si>
    <t>A1Z1-Lipoamide</t>
  </si>
  <si>
    <t>A2Z6</t>
  </si>
  <si>
    <t>A2Z6-UDP-N-acetylglucosamine</t>
  </si>
  <si>
    <t>A5Q3</t>
  </si>
  <si>
    <t>A5Q3-Glyceraldehyde 3-phosphate</t>
  </si>
  <si>
    <t>A6A9</t>
  </si>
  <si>
    <t>A6A9-Ribose</t>
  </si>
  <si>
    <t>A6S9</t>
  </si>
  <si>
    <t>A6S9-Vanillylmandelic acid</t>
  </si>
  <si>
    <t>B1Y2</t>
  </si>
  <si>
    <t>B1Y2-Nicotinamide riboside</t>
  </si>
  <si>
    <t>中文名称</t>
  </si>
  <si>
    <t>CAS</t>
  </si>
  <si>
    <t>Formula</t>
  </si>
  <si>
    <t>Pubchem.ID</t>
  </si>
  <si>
    <t>HMDB</t>
  </si>
  <si>
    <t>KEGG</t>
  </si>
  <si>
    <t>Class</t>
  </si>
  <si>
    <t>分类</t>
  </si>
  <si>
    <t>Average Molecular Weight</t>
  </si>
  <si>
    <t>DPNH</t>
  </si>
  <si>
    <t>还原型烟酰胺腺嘌呤二核苷酸</t>
  </si>
  <si>
    <t>58-68-4</t>
  </si>
  <si>
    <t>C21H29N7O14P2</t>
  </si>
  <si>
    <t>HMDB0001487</t>
  </si>
  <si>
    <t>C00003</t>
  </si>
  <si>
    <t>Nucleotides</t>
  </si>
  <si>
    <t>核苷酸类</t>
  </si>
  <si>
    <t>Adenosine</t>
  </si>
  <si>
    <t>腺苷</t>
  </si>
  <si>
    <t>58-61-7</t>
  </si>
  <si>
    <t>C10H13N5O4</t>
  </si>
  <si>
    <t>HMDB0000050</t>
  </si>
  <si>
    <t>C00002</t>
  </si>
  <si>
    <t>Nucleoside</t>
  </si>
  <si>
    <t>核苷</t>
  </si>
  <si>
    <t>Uracil</t>
  </si>
  <si>
    <t>尿嘧啶</t>
  </si>
  <si>
    <t>66-22-8</t>
  </si>
  <si>
    <t>C4H4N2O2</t>
  </si>
  <si>
    <t>HMDB0000300</t>
  </si>
  <si>
    <t>C00106</t>
  </si>
  <si>
    <t>Citric acid</t>
  </si>
  <si>
    <t>柠檬酸</t>
  </si>
  <si>
    <t>77-92-9</t>
  </si>
  <si>
    <t>C6H8O7</t>
  </si>
  <si>
    <t>HMDB0000094</t>
  </si>
  <si>
    <t>C00158</t>
  </si>
  <si>
    <t>Organic acids</t>
  </si>
  <si>
    <t>有机酸类</t>
  </si>
  <si>
    <t>DL-Isocitric acid trisodium salt</t>
  </si>
  <si>
    <t>异柠檬酸</t>
  </si>
  <si>
    <t>320-77-4</t>
  </si>
  <si>
    <t>HMDB0000193</t>
  </si>
  <si>
    <t>C00311</t>
  </si>
  <si>
    <t>D-glyceraldehyde 3-phosphateD911420</t>
  </si>
  <si>
    <t>甘油醛-3-磷酸</t>
  </si>
  <si>
    <t>591-57-1</t>
  </si>
  <si>
    <t>C3H7O6P</t>
  </si>
  <si>
    <t>HMDB0001112</t>
  </si>
  <si>
    <t>C00661</t>
  </si>
  <si>
    <t>Carbohydrates</t>
  </si>
  <si>
    <t>碳水化合物</t>
  </si>
  <si>
    <t>A5Q4</t>
  </si>
  <si>
    <t>Dihydroxyacetone phosphate</t>
  </si>
  <si>
    <t>二羟丙酮磷酸</t>
  </si>
  <si>
    <t>57-04-5</t>
  </si>
  <si>
    <t>HMDB0001473</t>
  </si>
  <si>
    <t>C00111</t>
  </si>
  <si>
    <t>L-Phenylalanine</t>
  </si>
  <si>
    <t>苯丙氨酸</t>
  </si>
  <si>
    <t>63-91-2</t>
  </si>
  <si>
    <t>C9H11NO2</t>
  </si>
  <si>
    <t>HMDB0000159</t>
  </si>
  <si>
    <t>C00079</t>
  </si>
  <si>
    <t>Amino acids</t>
  </si>
  <si>
    <t>氨基酸类</t>
  </si>
  <si>
    <t>L-Threonine</t>
  </si>
  <si>
    <t>苏氨酸</t>
  </si>
  <si>
    <t>72-19-5</t>
  </si>
  <si>
    <t>C4H9NO3</t>
  </si>
  <si>
    <t>HMDB0000167</t>
  </si>
  <si>
    <t>C00188</t>
  </si>
  <si>
    <t>L-Cysteine</t>
  </si>
  <si>
    <t>半胱氨酸</t>
  </si>
  <si>
    <t>52-90-4</t>
  </si>
  <si>
    <t>C3H7NO2S</t>
  </si>
  <si>
    <t>HMDB0000574</t>
  </si>
  <si>
    <t>C00736</t>
  </si>
  <si>
    <t>L-Histidine</t>
  </si>
  <si>
    <t>组氨酸</t>
  </si>
  <si>
    <t>71-00-1</t>
  </si>
  <si>
    <t>C6H9N3O2</t>
  </si>
  <si>
    <t>HMDB0000177</t>
  </si>
  <si>
    <t>C00768</t>
  </si>
  <si>
    <t>Lipoamide</t>
  </si>
  <si>
    <t>硫辛酰胺</t>
  </si>
  <si>
    <t>940-69-2</t>
  </si>
  <si>
    <t>C8H15NOS2</t>
  </si>
  <si>
    <t>HMDB0000962</t>
  </si>
  <si>
    <t>C00248</t>
  </si>
  <si>
    <t>Others</t>
  </si>
  <si>
    <t>其他类</t>
  </si>
  <si>
    <t>Choline</t>
  </si>
  <si>
    <t>胆碱</t>
  </si>
  <si>
    <t>62-49-7</t>
  </si>
  <si>
    <t>C5H14NO</t>
  </si>
  <si>
    <t>HMDB0000097</t>
  </si>
  <si>
    <t>C00114</t>
  </si>
  <si>
    <t>Biogenic Amines</t>
  </si>
  <si>
    <t>生物胺类</t>
  </si>
  <si>
    <t>Nicotinamide</t>
  </si>
  <si>
    <t>烟酰胺</t>
  </si>
  <si>
    <t>98-92-0</t>
  </si>
  <si>
    <t>C6H6N2O</t>
  </si>
  <si>
    <t>HMDB0001406</t>
  </si>
  <si>
    <t>C00153</t>
  </si>
  <si>
    <t>UDP-N-acetyl-D-galactosamine disoodium</t>
  </si>
  <si>
    <t>UDP-N-乙酰氨基葡糖</t>
  </si>
  <si>
    <t>528-04-1</t>
  </si>
  <si>
    <t>C17H27N3O17P2</t>
  </si>
  <si>
    <t>HMDB0000290</t>
  </si>
  <si>
    <t>C00043</t>
  </si>
  <si>
    <t>nucleotide sugars</t>
  </si>
  <si>
    <t>核苷酸糖</t>
  </si>
  <si>
    <t>Nicotinamide riboside</t>
  </si>
  <si>
    <t>烟酰胺核糖</t>
  </si>
  <si>
    <t>1341-23-7</t>
  </si>
  <si>
    <t>C11H15N2O5</t>
  </si>
  <si>
    <t>HMDB0000855</t>
  </si>
  <si>
    <t>C03150</t>
  </si>
  <si>
    <t>D-Ribose</t>
  </si>
  <si>
    <t>核糖</t>
  </si>
  <si>
    <t>613-83-2</t>
  </si>
  <si>
    <t>C5H10O5</t>
  </si>
  <si>
    <t>HMDB0000283</t>
  </si>
  <si>
    <t>C00121</t>
  </si>
  <si>
    <t>4-Hydroxy-3-methoxymandelate;Vanillylmandelic acid</t>
  </si>
  <si>
    <t>香草扁桃酸</t>
  </si>
  <si>
    <t>13244-77-4</t>
  </si>
  <si>
    <t>C9H10O5</t>
  </si>
  <si>
    <t>HMDB0000291</t>
  </si>
  <si>
    <t>C05584</t>
  </si>
  <si>
    <t>Benzenoids</t>
  </si>
  <si>
    <t>苯类</t>
  </si>
  <si>
    <t>E7W3</t>
  </si>
  <si>
    <t>Udp-alpha-D-N-Acetylgalactosamine,Disodium salt</t>
  </si>
  <si>
    <t>UDP-N-乙酰半乳糖胺</t>
  </si>
  <si>
    <t>7277-98-7</t>
  </si>
  <si>
    <t>HMDB0000304</t>
  </si>
  <si>
    <t>/</t>
  </si>
  <si>
    <t>chromId</t>
  </si>
  <si>
    <t>nIS-01</t>
  </si>
  <si>
    <t>nIS-02</t>
  </si>
  <si>
    <t>nIS-03</t>
  </si>
  <si>
    <t>pIS-01</t>
  </si>
  <si>
    <t>pIS-02</t>
  </si>
  <si>
    <t>pIS-03</t>
  </si>
  <si>
    <t>项目类型</t>
  </si>
  <si>
    <t>样品类型</t>
  </si>
  <si>
    <t>extractorVol</t>
  </si>
  <si>
    <t>sampleAmount</t>
  </si>
  <si>
    <t>conFactor</t>
  </si>
  <si>
    <t>dilFactor</t>
  </si>
  <si>
    <t>unitFactor</t>
  </si>
  <si>
    <t>样品浓度</t>
  </si>
  <si>
    <t>计算浓度</t>
  </si>
  <si>
    <t>sumMax[ug]</t>
  </si>
  <si>
    <t>mass%</t>
  </si>
  <si>
    <t>total[ug]</t>
  </si>
  <si>
    <t>comment</t>
  </si>
  <si>
    <t>CCM</t>
  </si>
  <si>
    <t>固体</t>
  </si>
  <si>
    <t>uL</t>
  </si>
  <si>
    <t>mg</t>
  </si>
  <si>
    <t>nmol/g</t>
  </si>
  <si>
    <t>nmol/L</t>
  </si>
  <si>
    <t>样品浓度 = 计算浓度 * extractorVol / sampleAmount / conFactor * dilFactor / unitFactor</t>
  </si>
  <si>
    <t>植物</t>
  </si>
  <si>
    <t>液体</t>
  </si>
  <si>
    <t>细胞</t>
  </si>
  <si>
    <t>1e7 cell</t>
  </si>
  <si>
    <t>nmol/1e7 Cell</t>
  </si>
  <si>
    <t>蛋白</t>
  </si>
  <si>
    <t>(IS)ATP-15N5-neg</t>
  </si>
  <si>
    <t>A6D2</t>
  </si>
  <si>
    <t>A0U3</t>
  </si>
  <si>
    <t>A0X1</t>
  </si>
  <si>
    <t>A0Z3</t>
  </si>
  <si>
    <t>A7B1</t>
  </si>
  <si>
    <t>A7G4</t>
  </si>
  <si>
    <t>A6F6</t>
  </si>
  <si>
    <t>A1D7</t>
  </si>
  <si>
    <t>A0Y4</t>
  </si>
  <si>
    <t>A2Y7</t>
  </si>
  <si>
    <t>A6T8</t>
  </si>
  <si>
    <t>A8X0</t>
  </si>
  <si>
    <t>A2C4</t>
  </si>
  <si>
    <t>A2F9</t>
  </si>
  <si>
    <t>A0Y9</t>
  </si>
  <si>
    <t>A1B5</t>
  </si>
  <si>
    <t>B2K8</t>
  </si>
  <si>
    <t>A2K9</t>
  </si>
  <si>
    <t>A1D1</t>
  </si>
  <si>
    <t>A1B7</t>
  </si>
  <si>
    <t>A1B9</t>
  </si>
  <si>
    <t>A2G1</t>
  </si>
  <si>
    <t>A1C4</t>
  </si>
  <si>
    <t>A3U7</t>
  </si>
  <si>
    <t>B3D2</t>
  </si>
  <si>
    <t>A6I0</t>
  </si>
  <si>
    <t>A1C7</t>
  </si>
  <si>
    <t>A2F8</t>
  </si>
  <si>
    <t>A2U1</t>
  </si>
  <si>
    <t>A5K6</t>
  </si>
  <si>
    <t>A5Q7</t>
  </si>
  <si>
    <t>A8V5</t>
  </si>
  <si>
    <t>A3F5</t>
  </si>
  <si>
    <t>A5E2</t>
  </si>
  <si>
    <t>A5Q6</t>
  </si>
  <si>
    <t>A0W5</t>
  </si>
  <si>
    <t>A1A4</t>
  </si>
  <si>
    <t>A1C3</t>
  </si>
  <si>
    <t>A1D4</t>
  </si>
  <si>
    <t>A2Z3</t>
  </si>
  <si>
    <t>A3B6</t>
  </si>
  <si>
    <t>A7I2</t>
  </si>
  <si>
    <t>D0P6</t>
  </si>
  <si>
    <t>A1A0</t>
  </si>
  <si>
    <t>A1C6</t>
  </si>
  <si>
    <t>A3A4</t>
  </si>
  <si>
    <t>A4T8</t>
  </si>
  <si>
    <t>A6F4</t>
  </si>
  <si>
    <t>A8H1</t>
  </si>
  <si>
    <t>A0X0</t>
  </si>
  <si>
    <t>A1C8</t>
  </si>
  <si>
    <t>A2G9</t>
  </si>
  <si>
    <t>A2Z0</t>
  </si>
  <si>
    <t>A2Z5</t>
  </si>
  <si>
    <t>A3G1</t>
  </si>
  <si>
    <t>A6B5</t>
  </si>
  <si>
    <t>A6B6</t>
  </si>
  <si>
    <t>A0U1</t>
  </si>
  <si>
    <t>A1D5</t>
  </si>
  <si>
    <t>B6P1</t>
  </si>
  <si>
    <t>A0V6</t>
  </si>
  <si>
    <t>A0U5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</si>
</sst>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0.00_);[Red]\(0.00\)"/>
  </numFmts>
  <fonts count="29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Times New Roman"/>
      <charset val="134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1"/>
      <name val="Helvetica"/>
      <charset val="134"/>
    </font>
    <font>
      <sz val="11"/>
      <color theme="1"/>
      <name val="Times New Roman"/>
      <charset val="134"/>
    </font>
    <font>
      <sz val="12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4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5" borderId="5">
      <alignment vertical="center"/>
    </xf>
    <xf numFmtId="0" fontId="19" fillId="6" borderId="6">
      <alignment vertical="center"/>
    </xf>
    <xf numFmtId="0" fontId="20" fillId="6" borderId="5">
      <alignment vertical="center"/>
    </xf>
    <xf numFmtId="0" fontId="21" fillId="7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</cellStyleXfs>
  <cellXfs count="31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center"/>
    </xf>
    <xf numFmtId="0" fontId="0" fillId="0" borderId="1" xfId="0" applyBorder="1" applyAlignment="1"/>
    <xf numFmtId="0" fontId="0" fillId="2" borderId="1" xfId="0" applyFill="1" applyBorder="1" applyAlignment="1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11" fontId="0" fillId="0" borderId="1" xfId="0" applyNumberFormat="1" applyBorder="1" applyAlignment="1"/>
    <xf numFmtId="176" fontId="2" fillId="0" borderId="1" xfId="0" applyNumberFormat="1" applyFont="1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 readingOrder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177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177" fontId="0" fillId="0" borderId="0" xfId="0" applyNumberFormat="1" applyAlignment="1">
      <alignment vertical="center"/>
    </xf>
    <xf numFmtId="177" fontId="1" fillId="0" borderId="1" xfId="0" applyNumberFormat="1" applyFont="1" applyBorder="1" applyAlignment="1">
      <alignment horizontal="center" vertical="top"/>
    </xf>
    <xf numFmtId="177" fontId="0" fillId="2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8"/>
  <sheetViews>
    <sheetView tabSelected="1" topLeftCell="A13" workbookViewId="0">
      <selection activeCell="B3" sqref="B3"/>
    </sheetView>
  </sheetViews>
  <sheetFormatPr defaultColWidth="9" defaultRowHeight="13.5"/>
  <cols>
    <col min="1" max="1" width="35.625" customWidth="1"/>
    <col min="2" max="2" width="27.625" customWidth="1"/>
    <col min="7" max="7" width="12.625" style="28"/>
    <col min="8" max="8" width="35.375" customWidth="1"/>
  </cols>
  <sheetData>
    <row r="1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9"/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</row>
    <row r="2" spans="1:38">
      <c r="A2" t="s">
        <v>37</v>
      </c>
      <c r="B2" t="s">
        <v>37</v>
      </c>
      <c r="C2">
        <v>198</v>
      </c>
      <c r="D2">
        <v>-1</v>
      </c>
      <c r="E2">
        <v>181</v>
      </c>
      <c r="F2">
        <v>-1</v>
      </c>
      <c r="G2" s="28">
        <f>I2/60</f>
        <v>4.33643333333333</v>
      </c>
      <c r="H2" t="s">
        <v>38</v>
      </c>
      <c r="I2">
        <v>260.186</v>
      </c>
      <c r="J2">
        <v>1</v>
      </c>
      <c r="K2">
        <v>8</v>
      </c>
      <c r="L2">
        <v>3</v>
      </c>
      <c r="M2">
        <v>2</v>
      </c>
      <c r="N2">
        <v>300</v>
      </c>
      <c r="O2">
        <v>3</v>
      </c>
      <c r="P2">
        <v>50</v>
      </c>
      <c r="Q2">
        <v>3</v>
      </c>
      <c r="R2">
        <v>500</v>
      </c>
      <c r="S2" t="s">
        <v>39</v>
      </c>
      <c r="T2">
        <v>1.33926</v>
      </c>
      <c r="U2">
        <v>-1</v>
      </c>
      <c r="V2">
        <v>1</v>
      </c>
      <c r="W2">
        <v>-1</v>
      </c>
      <c r="X2">
        <v>1</v>
      </c>
      <c r="Y2">
        <v>0.5</v>
      </c>
      <c r="Z2">
        <v>0.999</v>
      </c>
      <c r="AA2" t="s">
        <v>40</v>
      </c>
      <c r="AB2" t="s">
        <v>41</v>
      </c>
      <c r="AC2">
        <v>1000</v>
      </c>
      <c r="AD2">
        <v>1</v>
      </c>
      <c r="AE2">
        <v>1</v>
      </c>
      <c r="AF2" t="s">
        <v>42</v>
      </c>
      <c r="AG2">
        <v>6</v>
      </c>
      <c r="AH2">
        <v>1</v>
      </c>
      <c r="AI2">
        <v>1</v>
      </c>
      <c r="AJ2">
        <v>1</v>
      </c>
      <c r="AK2">
        <v>0</v>
      </c>
      <c r="AL2">
        <v>1</v>
      </c>
    </row>
    <row r="3" spans="1:38">
      <c r="A3" t="s">
        <v>37</v>
      </c>
      <c r="B3" t="s">
        <v>37</v>
      </c>
      <c r="C3">
        <v>198</v>
      </c>
      <c r="D3">
        <v>-1</v>
      </c>
      <c r="E3">
        <v>137</v>
      </c>
      <c r="F3">
        <v>-1</v>
      </c>
      <c r="G3" s="28">
        <f t="shared" ref="G3:G34" si="0">I3/60</f>
        <v>4.33708333333333</v>
      </c>
      <c r="H3" t="s">
        <v>38</v>
      </c>
      <c r="I3">
        <v>260.225</v>
      </c>
      <c r="J3">
        <v>1</v>
      </c>
      <c r="K3">
        <v>8</v>
      </c>
      <c r="L3">
        <v>3</v>
      </c>
      <c r="M3">
        <v>2</v>
      </c>
      <c r="N3">
        <v>300</v>
      </c>
      <c r="O3">
        <v>3</v>
      </c>
      <c r="P3">
        <v>50</v>
      </c>
      <c r="Q3">
        <v>3</v>
      </c>
      <c r="R3">
        <v>500</v>
      </c>
      <c r="S3" t="s">
        <v>39</v>
      </c>
      <c r="T3">
        <v>1.3435</v>
      </c>
      <c r="U3">
        <v>-1</v>
      </c>
      <c r="V3">
        <v>1</v>
      </c>
      <c r="W3">
        <v>-1</v>
      </c>
      <c r="X3">
        <v>1</v>
      </c>
      <c r="Y3">
        <v>0.5</v>
      </c>
      <c r="Z3">
        <v>0.999</v>
      </c>
      <c r="AA3" t="s">
        <v>40</v>
      </c>
      <c r="AB3" t="s">
        <v>41</v>
      </c>
      <c r="AC3">
        <v>1000</v>
      </c>
      <c r="AD3">
        <v>2</v>
      </c>
      <c r="AE3">
        <v>0.537876</v>
      </c>
      <c r="AF3" t="s">
        <v>42</v>
      </c>
      <c r="AG3">
        <v>6</v>
      </c>
      <c r="AH3">
        <v>1</v>
      </c>
      <c r="AI3">
        <v>1</v>
      </c>
      <c r="AJ3">
        <v>1</v>
      </c>
      <c r="AK3">
        <v>0</v>
      </c>
      <c r="AL3">
        <v>1</v>
      </c>
    </row>
    <row r="4" spans="1:38">
      <c r="A4" t="s">
        <v>43</v>
      </c>
      <c r="B4" t="s">
        <v>43</v>
      </c>
      <c r="C4">
        <v>200</v>
      </c>
      <c r="D4">
        <v>1</v>
      </c>
      <c r="E4">
        <v>154</v>
      </c>
      <c r="F4">
        <v>1</v>
      </c>
      <c r="G4" s="28">
        <f t="shared" si="0"/>
        <v>4.33561666666667</v>
      </c>
      <c r="H4" t="s">
        <v>44</v>
      </c>
      <c r="I4">
        <v>260.137</v>
      </c>
      <c r="J4">
        <v>1</v>
      </c>
      <c r="K4">
        <v>8</v>
      </c>
      <c r="L4">
        <v>3</v>
      </c>
      <c r="M4">
        <v>2</v>
      </c>
      <c r="N4">
        <v>300</v>
      </c>
      <c r="O4">
        <v>3</v>
      </c>
      <c r="P4">
        <v>50</v>
      </c>
      <c r="Q4">
        <v>3</v>
      </c>
      <c r="R4">
        <v>500</v>
      </c>
      <c r="S4" t="s">
        <v>39</v>
      </c>
      <c r="T4">
        <v>1.36408</v>
      </c>
      <c r="U4">
        <v>-1</v>
      </c>
      <c r="V4">
        <v>1</v>
      </c>
      <c r="W4">
        <v>-1</v>
      </c>
      <c r="X4">
        <v>1</v>
      </c>
      <c r="Y4">
        <v>0.5</v>
      </c>
      <c r="Z4">
        <v>0.999</v>
      </c>
      <c r="AA4" t="s">
        <v>40</v>
      </c>
      <c r="AB4" t="s">
        <v>41</v>
      </c>
      <c r="AC4">
        <v>1000</v>
      </c>
      <c r="AD4">
        <v>1</v>
      </c>
      <c r="AE4">
        <v>1</v>
      </c>
      <c r="AF4" t="s">
        <v>42</v>
      </c>
      <c r="AG4">
        <v>6</v>
      </c>
      <c r="AH4">
        <v>1</v>
      </c>
      <c r="AI4">
        <v>1</v>
      </c>
      <c r="AJ4">
        <v>1</v>
      </c>
      <c r="AK4">
        <v>0</v>
      </c>
      <c r="AL4">
        <v>1</v>
      </c>
    </row>
    <row r="5" spans="1:38">
      <c r="A5" t="s">
        <v>43</v>
      </c>
      <c r="B5" t="s">
        <v>43</v>
      </c>
      <c r="C5">
        <v>200</v>
      </c>
      <c r="D5">
        <v>1</v>
      </c>
      <c r="E5">
        <v>119</v>
      </c>
      <c r="F5">
        <v>1</v>
      </c>
      <c r="G5" s="28">
        <f t="shared" si="0"/>
        <v>4.33585</v>
      </c>
      <c r="H5" t="s">
        <v>44</v>
      </c>
      <c r="I5">
        <v>260.151</v>
      </c>
      <c r="J5">
        <v>1</v>
      </c>
      <c r="K5">
        <v>8</v>
      </c>
      <c r="L5">
        <v>3</v>
      </c>
      <c r="M5">
        <v>2</v>
      </c>
      <c r="N5">
        <v>300</v>
      </c>
      <c r="O5">
        <v>3</v>
      </c>
      <c r="P5">
        <v>50</v>
      </c>
      <c r="Q5">
        <v>3</v>
      </c>
      <c r="R5">
        <v>500</v>
      </c>
      <c r="S5" t="s">
        <v>39</v>
      </c>
      <c r="T5">
        <v>1.37002</v>
      </c>
      <c r="U5">
        <v>-1</v>
      </c>
      <c r="V5">
        <v>1</v>
      </c>
      <c r="W5">
        <v>-1</v>
      </c>
      <c r="X5">
        <v>1</v>
      </c>
      <c r="Y5">
        <v>0.5</v>
      </c>
      <c r="Z5">
        <v>0.999</v>
      </c>
      <c r="AA5" t="s">
        <v>40</v>
      </c>
      <c r="AB5" t="s">
        <v>41</v>
      </c>
      <c r="AC5">
        <v>1000</v>
      </c>
      <c r="AD5">
        <v>2</v>
      </c>
      <c r="AE5">
        <v>0.340143</v>
      </c>
      <c r="AF5" t="s">
        <v>42</v>
      </c>
      <c r="AG5">
        <v>6</v>
      </c>
      <c r="AH5">
        <v>1</v>
      </c>
      <c r="AI5">
        <v>1</v>
      </c>
      <c r="AJ5">
        <v>1</v>
      </c>
      <c r="AK5">
        <v>0</v>
      </c>
      <c r="AL5">
        <v>1</v>
      </c>
    </row>
    <row r="6" spans="1:38">
      <c r="A6" t="s">
        <v>45</v>
      </c>
      <c r="B6" t="s">
        <v>45</v>
      </c>
      <c r="C6">
        <v>271.106</v>
      </c>
      <c r="D6">
        <v>-1</v>
      </c>
      <c r="E6">
        <v>134.047</v>
      </c>
      <c r="F6">
        <v>-1</v>
      </c>
      <c r="G6" s="28">
        <f t="shared" si="0"/>
        <v>3.6658</v>
      </c>
      <c r="H6" t="s">
        <v>46</v>
      </c>
      <c r="I6">
        <v>219.948</v>
      </c>
      <c r="J6">
        <v>1</v>
      </c>
      <c r="K6">
        <v>8</v>
      </c>
      <c r="L6">
        <v>3</v>
      </c>
      <c r="M6">
        <v>2</v>
      </c>
      <c r="N6">
        <v>300</v>
      </c>
      <c r="O6">
        <v>3</v>
      </c>
      <c r="P6">
        <v>50</v>
      </c>
      <c r="Q6">
        <v>3</v>
      </c>
      <c r="R6">
        <v>500</v>
      </c>
      <c r="S6" t="s">
        <v>39</v>
      </c>
      <c r="T6">
        <v>1.66566</v>
      </c>
      <c r="U6">
        <v>-1</v>
      </c>
      <c r="V6">
        <v>1</v>
      </c>
      <c r="W6">
        <v>-1</v>
      </c>
      <c r="X6">
        <v>1</v>
      </c>
      <c r="Y6">
        <v>0.5</v>
      </c>
      <c r="Z6">
        <v>0.999</v>
      </c>
      <c r="AA6" t="s">
        <v>40</v>
      </c>
      <c r="AB6" t="s">
        <v>41</v>
      </c>
      <c r="AC6">
        <v>100</v>
      </c>
      <c r="AD6">
        <v>1</v>
      </c>
      <c r="AE6">
        <v>1</v>
      </c>
      <c r="AF6" t="s">
        <v>42</v>
      </c>
      <c r="AG6">
        <v>6</v>
      </c>
      <c r="AH6">
        <v>1</v>
      </c>
      <c r="AI6">
        <v>1</v>
      </c>
      <c r="AJ6">
        <v>1</v>
      </c>
      <c r="AK6">
        <v>0</v>
      </c>
      <c r="AL6">
        <v>0.1</v>
      </c>
    </row>
    <row r="7" spans="1:38">
      <c r="A7" t="s">
        <v>45</v>
      </c>
      <c r="B7" t="s">
        <v>45</v>
      </c>
      <c r="C7">
        <v>271.106</v>
      </c>
      <c r="D7">
        <v>-1</v>
      </c>
      <c r="E7">
        <v>107.037</v>
      </c>
      <c r="F7">
        <v>-1</v>
      </c>
      <c r="G7" s="28">
        <f t="shared" si="0"/>
        <v>3.66366666666667</v>
      </c>
      <c r="H7" t="s">
        <v>46</v>
      </c>
      <c r="I7">
        <v>219.82</v>
      </c>
      <c r="J7">
        <v>1</v>
      </c>
      <c r="K7">
        <v>8</v>
      </c>
      <c r="L7">
        <v>3</v>
      </c>
      <c r="M7">
        <v>2</v>
      </c>
      <c r="N7">
        <v>300</v>
      </c>
      <c r="O7">
        <v>3</v>
      </c>
      <c r="P7">
        <v>50</v>
      </c>
      <c r="Q7">
        <v>3</v>
      </c>
      <c r="R7">
        <v>500</v>
      </c>
      <c r="S7" t="s">
        <v>39</v>
      </c>
      <c r="T7">
        <v>1.64081</v>
      </c>
      <c r="U7">
        <v>-1</v>
      </c>
      <c r="V7">
        <v>1</v>
      </c>
      <c r="W7">
        <v>-1</v>
      </c>
      <c r="X7">
        <v>1</v>
      </c>
      <c r="Y7">
        <v>0.5</v>
      </c>
      <c r="Z7">
        <v>0.999</v>
      </c>
      <c r="AA7" t="s">
        <v>40</v>
      </c>
      <c r="AB7" t="s">
        <v>41</v>
      </c>
      <c r="AC7">
        <v>100</v>
      </c>
      <c r="AD7">
        <v>2</v>
      </c>
      <c r="AE7">
        <v>0.207685</v>
      </c>
      <c r="AF7" t="s">
        <v>42</v>
      </c>
      <c r="AG7">
        <v>6</v>
      </c>
      <c r="AH7">
        <v>1</v>
      </c>
      <c r="AI7">
        <v>1</v>
      </c>
      <c r="AJ7">
        <v>1</v>
      </c>
      <c r="AK7">
        <v>0</v>
      </c>
      <c r="AL7">
        <v>0.1</v>
      </c>
    </row>
    <row r="8" spans="1:38">
      <c r="A8" t="s">
        <v>47</v>
      </c>
      <c r="B8" t="s">
        <v>47</v>
      </c>
      <c r="C8">
        <v>273.106</v>
      </c>
      <c r="D8">
        <v>1</v>
      </c>
      <c r="E8">
        <v>136</v>
      </c>
      <c r="F8">
        <v>1</v>
      </c>
      <c r="G8" s="28">
        <f t="shared" si="0"/>
        <v>3.66473333333333</v>
      </c>
      <c r="H8" t="s">
        <v>48</v>
      </c>
      <c r="I8">
        <v>219.884</v>
      </c>
      <c r="J8">
        <v>1</v>
      </c>
      <c r="K8">
        <v>8</v>
      </c>
      <c r="L8">
        <v>3</v>
      </c>
      <c r="M8">
        <v>2</v>
      </c>
      <c r="N8">
        <v>300</v>
      </c>
      <c r="O8">
        <v>3</v>
      </c>
      <c r="P8">
        <v>50</v>
      </c>
      <c r="Q8">
        <v>3</v>
      </c>
      <c r="R8">
        <v>500</v>
      </c>
      <c r="S8" t="s">
        <v>39</v>
      </c>
      <c r="T8">
        <v>2.05387</v>
      </c>
      <c r="U8">
        <v>-1</v>
      </c>
      <c r="V8">
        <v>1</v>
      </c>
      <c r="W8">
        <v>-1</v>
      </c>
      <c r="X8">
        <v>1</v>
      </c>
      <c r="Y8">
        <v>0.5</v>
      </c>
      <c r="Z8">
        <v>0.999</v>
      </c>
      <c r="AA8" t="s">
        <v>40</v>
      </c>
      <c r="AB8" t="s">
        <v>41</v>
      </c>
      <c r="AC8">
        <v>100</v>
      </c>
      <c r="AD8">
        <v>1</v>
      </c>
      <c r="AE8">
        <v>1</v>
      </c>
      <c r="AF8" t="s">
        <v>42</v>
      </c>
      <c r="AG8">
        <v>6</v>
      </c>
      <c r="AH8">
        <v>1</v>
      </c>
      <c r="AI8">
        <v>1</v>
      </c>
      <c r="AJ8">
        <v>1</v>
      </c>
      <c r="AK8">
        <v>0</v>
      </c>
      <c r="AL8">
        <v>0.1</v>
      </c>
    </row>
    <row r="9" spans="1:38">
      <c r="A9" t="s">
        <v>47</v>
      </c>
      <c r="B9" t="s">
        <v>47</v>
      </c>
      <c r="C9">
        <v>273.106</v>
      </c>
      <c r="D9">
        <v>1</v>
      </c>
      <c r="E9">
        <v>119</v>
      </c>
      <c r="F9">
        <v>1</v>
      </c>
      <c r="G9" s="28">
        <f t="shared" si="0"/>
        <v>3.66418333333333</v>
      </c>
      <c r="H9" t="s">
        <v>48</v>
      </c>
      <c r="I9">
        <v>219.851</v>
      </c>
      <c r="J9">
        <v>1</v>
      </c>
      <c r="K9">
        <v>8</v>
      </c>
      <c r="L9">
        <v>3</v>
      </c>
      <c r="M9">
        <v>2</v>
      </c>
      <c r="N9">
        <v>300</v>
      </c>
      <c r="O9">
        <v>3</v>
      </c>
      <c r="P9">
        <v>50</v>
      </c>
      <c r="Q9">
        <v>3</v>
      </c>
      <c r="R9">
        <v>500</v>
      </c>
      <c r="S9" t="s">
        <v>39</v>
      </c>
      <c r="T9">
        <v>2.05597</v>
      </c>
      <c r="U9">
        <v>-1</v>
      </c>
      <c r="V9">
        <v>1</v>
      </c>
      <c r="W9">
        <v>-1</v>
      </c>
      <c r="X9">
        <v>1</v>
      </c>
      <c r="Y9">
        <v>0.5</v>
      </c>
      <c r="Z9">
        <v>0.999</v>
      </c>
      <c r="AA9" t="s">
        <v>40</v>
      </c>
      <c r="AB9" t="s">
        <v>41</v>
      </c>
      <c r="AC9">
        <v>100</v>
      </c>
      <c r="AD9">
        <v>2</v>
      </c>
      <c r="AE9">
        <v>0.114011</v>
      </c>
      <c r="AF9" t="s">
        <v>42</v>
      </c>
      <c r="AG9">
        <v>6</v>
      </c>
      <c r="AH9">
        <v>1</v>
      </c>
      <c r="AI9">
        <v>1</v>
      </c>
      <c r="AJ9">
        <v>1</v>
      </c>
      <c r="AK9">
        <v>0</v>
      </c>
      <c r="AL9">
        <v>0.1</v>
      </c>
    </row>
    <row r="10" spans="1:38">
      <c r="A10" t="s">
        <v>49</v>
      </c>
      <c r="B10" t="s">
        <v>49</v>
      </c>
      <c r="C10">
        <v>127.3</v>
      </c>
      <c r="D10">
        <v>1</v>
      </c>
      <c r="E10">
        <v>66.1</v>
      </c>
      <c r="F10">
        <v>1</v>
      </c>
      <c r="G10" s="28">
        <f t="shared" si="0"/>
        <v>1.30926833333333</v>
      </c>
      <c r="H10" t="s">
        <v>50</v>
      </c>
      <c r="I10">
        <v>78.5561</v>
      </c>
      <c r="J10">
        <v>1</v>
      </c>
      <c r="K10">
        <v>8</v>
      </c>
      <c r="L10">
        <v>3</v>
      </c>
      <c r="M10">
        <v>2</v>
      </c>
      <c r="N10">
        <v>300</v>
      </c>
      <c r="O10">
        <v>3</v>
      </c>
      <c r="P10">
        <v>50</v>
      </c>
      <c r="Q10">
        <v>3</v>
      </c>
      <c r="R10">
        <v>500</v>
      </c>
      <c r="S10" t="s">
        <v>39</v>
      </c>
      <c r="T10">
        <v>1.35657</v>
      </c>
      <c r="U10">
        <v>-1</v>
      </c>
      <c r="V10">
        <v>1</v>
      </c>
      <c r="W10">
        <v>-1</v>
      </c>
      <c r="X10">
        <v>1</v>
      </c>
      <c r="Y10">
        <v>0.5</v>
      </c>
      <c r="Z10">
        <v>0.999</v>
      </c>
      <c r="AA10" t="s">
        <v>40</v>
      </c>
      <c r="AB10" t="s">
        <v>41</v>
      </c>
      <c r="AC10">
        <v>100</v>
      </c>
      <c r="AD10">
        <v>1</v>
      </c>
      <c r="AE10">
        <v>1</v>
      </c>
      <c r="AF10" t="s">
        <v>42</v>
      </c>
      <c r="AG10">
        <v>6</v>
      </c>
      <c r="AH10">
        <v>1</v>
      </c>
      <c r="AI10">
        <v>1</v>
      </c>
      <c r="AJ10">
        <v>1</v>
      </c>
      <c r="AK10">
        <v>0</v>
      </c>
      <c r="AL10">
        <v>0.1</v>
      </c>
    </row>
    <row r="11" spans="1:38">
      <c r="A11" t="s">
        <v>49</v>
      </c>
      <c r="B11" t="s">
        <v>49</v>
      </c>
      <c r="C11">
        <v>127.3</v>
      </c>
      <c r="D11">
        <v>1</v>
      </c>
      <c r="E11">
        <v>68.1</v>
      </c>
      <c r="F11">
        <v>1</v>
      </c>
      <c r="G11" s="28">
        <f t="shared" si="0"/>
        <v>1.30938666666667</v>
      </c>
      <c r="H11" t="s">
        <v>50</v>
      </c>
      <c r="I11">
        <v>78.5632</v>
      </c>
      <c r="J11">
        <v>1</v>
      </c>
      <c r="K11">
        <v>8</v>
      </c>
      <c r="L11">
        <v>3</v>
      </c>
      <c r="M11">
        <v>2</v>
      </c>
      <c r="N11">
        <v>300</v>
      </c>
      <c r="O11">
        <v>3</v>
      </c>
      <c r="P11">
        <v>50</v>
      </c>
      <c r="Q11">
        <v>3</v>
      </c>
      <c r="R11">
        <v>500</v>
      </c>
      <c r="S11" t="s">
        <v>39</v>
      </c>
      <c r="T11">
        <v>1.34893</v>
      </c>
      <c r="U11">
        <v>-1</v>
      </c>
      <c r="V11">
        <v>1</v>
      </c>
      <c r="W11">
        <v>-1</v>
      </c>
      <c r="X11">
        <v>1</v>
      </c>
      <c r="Y11">
        <v>0.5</v>
      </c>
      <c r="Z11">
        <v>0.999</v>
      </c>
      <c r="AA11" t="s">
        <v>40</v>
      </c>
      <c r="AB11" t="s">
        <v>41</v>
      </c>
      <c r="AC11">
        <v>100</v>
      </c>
      <c r="AD11">
        <v>2</v>
      </c>
      <c r="AE11">
        <v>0.661109</v>
      </c>
      <c r="AF11" t="s">
        <v>42</v>
      </c>
      <c r="AG11">
        <v>6</v>
      </c>
      <c r="AH11">
        <v>1</v>
      </c>
      <c r="AI11">
        <v>1</v>
      </c>
      <c r="AJ11">
        <v>1</v>
      </c>
      <c r="AK11">
        <v>0</v>
      </c>
      <c r="AL11">
        <v>0.1</v>
      </c>
    </row>
    <row r="12" spans="1:38">
      <c r="A12" t="s">
        <v>51</v>
      </c>
      <c r="B12" t="s">
        <v>51</v>
      </c>
      <c r="C12">
        <v>195.1</v>
      </c>
      <c r="D12">
        <v>-1</v>
      </c>
      <c r="E12">
        <v>89</v>
      </c>
      <c r="F12">
        <v>-1</v>
      </c>
      <c r="G12" s="28">
        <f t="shared" si="0"/>
        <v>1.78733333333333</v>
      </c>
      <c r="H12" t="s">
        <v>52</v>
      </c>
      <c r="I12">
        <v>107.24</v>
      </c>
      <c r="J12">
        <v>1</v>
      </c>
      <c r="K12">
        <v>8</v>
      </c>
      <c r="L12">
        <v>3</v>
      </c>
      <c r="M12">
        <v>2</v>
      </c>
      <c r="N12">
        <v>300</v>
      </c>
      <c r="O12">
        <v>3</v>
      </c>
      <c r="P12">
        <v>50</v>
      </c>
      <c r="Q12">
        <v>3</v>
      </c>
      <c r="R12">
        <v>500</v>
      </c>
      <c r="S12" t="s">
        <v>39</v>
      </c>
      <c r="T12">
        <v>1.29691</v>
      </c>
      <c r="U12">
        <v>-1</v>
      </c>
      <c r="V12">
        <v>1</v>
      </c>
      <c r="W12">
        <v>-1</v>
      </c>
      <c r="X12">
        <v>1</v>
      </c>
      <c r="Y12">
        <v>0.5</v>
      </c>
      <c r="Z12">
        <v>0.999</v>
      </c>
      <c r="AA12" t="s">
        <v>40</v>
      </c>
      <c r="AB12" t="s">
        <v>41</v>
      </c>
      <c r="AC12">
        <v>1000</v>
      </c>
      <c r="AD12">
        <v>1</v>
      </c>
      <c r="AE12">
        <v>1</v>
      </c>
      <c r="AF12" t="s">
        <v>42</v>
      </c>
      <c r="AG12">
        <v>6</v>
      </c>
      <c r="AH12">
        <v>1</v>
      </c>
      <c r="AI12">
        <v>1</v>
      </c>
      <c r="AJ12">
        <v>1</v>
      </c>
      <c r="AK12">
        <v>0</v>
      </c>
      <c r="AL12">
        <v>1</v>
      </c>
    </row>
    <row r="13" spans="1:38">
      <c r="A13" t="s">
        <v>51</v>
      </c>
      <c r="B13" t="s">
        <v>51</v>
      </c>
      <c r="C13">
        <v>195.1</v>
      </c>
      <c r="D13">
        <v>-1</v>
      </c>
      <c r="E13">
        <v>68.9</v>
      </c>
      <c r="F13">
        <v>-1</v>
      </c>
      <c r="G13" s="28">
        <f t="shared" si="0"/>
        <v>1.78801666666667</v>
      </c>
      <c r="H13" t="s">
        <v>52</v>
      </c>
      <c r="I13">
        <v>107.281</v>
      </c>
      <c r="J13">
        <v>1</v>
      </c>
      <c r="K13">
        <v>8</v>
      </c>
      <c r="L13">
        <v>3</v>
      </c>
      <c r="M13">
        <v>2</v>
      </c>
      <c r="N13">
        <v>300</v>
      </c>
      <c r="O13">
        <v>3</v>
      </c>
      <c r="P13">
        <v>50</v>
      </c>
      <c r="Q13">
        <v>3</v>
      </c>
      <c r="R13">
        <v>500</v>
      </c>
      <c r="S13" t="s">
        <v>39</v>
      </c>
      <c r="T13">
        <v>1.39907</v>
      </c>
      <c r="U13">
        <v>-1</v>
      </c>
      <c r="V13">
        <v>1</v>
      </c>
      <c r="W13">
        <v>-1</v>
      </c>
      <c r="X13">
        <v>1</v>
      </c>
      <c r="Y13">
        <v>0.5</v>
      </c>
      <c r="Z13">
        <v>0.999</v>
      </c>
      <c r="AA13" t="s">
        <v>40</v>
      </c>
      <c r="AB13" t="s">
        <v>41</v>
      </c>
      <c r="AC13">
        <v>1000</v>
      </c>
      <c r="AD13">
        <v>2</v>
      </c>
      <c r="AE13">
        <v>0.186951</v>
      </c>
      <c r="AF13" t="s">
        <v>42</v>
      </c>
      <c r="AG13">
        <v>6</v>
      </c>
      <c r="AH13">
        <v>1</v>
      </c>
      <c r="AI13">
        <v>1</v>
      </c>
      <c r="AJ13">
        <v>1</v>
      </c>
      <c r="AK13">
        <v>0</v>
      </c>
      <c r="AL13">
        <v>1</v>
      </c>
    </row>
    <row r="14" spans="1:38">
      <c r="A14" t="s">
        <v>51</v>
      </c>
      <c r="B14" t="s">
        <v>51</v>
      </c>
      <c r="C14">
        <v>195.1</v>
      </c>
      <c r="D14">
        <v>-1</v>
      </c>
      <c r="E14">
        <v>86.9</v>
      </c>
      <c r="F14">
        <v>-1</v>
      </c>
      <c r="G14" s="28">
        <f t="shared" si="0"/>
        <v>1.7869</v>
      </c>
      <c r="H14" t="s">
        <v>52</v>
      </c>
      <c r="I14">
        <v>107.214</v>
      </c>
      <c r="J14">
        <v>1</v>
      </c>
      <c r="K14">
        <v>8</v>
      </c>
      <c r="L14">
        <v>3</v>
      </c>
      <c r="M14">
        <v>2</v>
      </c>
      <c r="N14">
        <v>300</v>
      </c>
      <c r="O14">
        <v>3</v>
      </c>
      <c r="P14">
        <v>50</v>
      </c>
      <c r="Q14">
        <v>3</v>
      </c>
      <c r="R14">
        <v>500</v>
      </c>
      <c r="S14" t="s">
        <v>39</v>
      </c>
      <c r="T14">
        <v>1.28446</v>
      </c>
      <c r="U14">
        <v>-1</v>
      </c>
      <c r="V14">
        <v>1</v>
      </c>
      <c r="W14">
        <v>-1</v>
      </c>
      <c r="X14">
        <v>1</v>
      </c>
      <c r="Y14">
        <v>0.5</v>
      </c>
      <c r="Z14">
        <v>0.999</v>
      </c>
      <c r="AA14" t="s">
        <v>40</v>
      </c>
      <c r="AB14" t="s">
        <v>41</v>
      </c>
      <c r="AC14">
        <v>1000</v>
      </c>
      <c r="AD14">
        <v>3</v>
      </c>
      <c r="AE14">
        <v>0.106858</v>
      </c>
      <c r="AF14" t="s">
        <v>42</v>
      </c>
      <c r="AG14">
        <v>6</v>
      </c>
      <c r="AH14">
        <v>1</v>
      </c>
      <c r="AI14">
        <v>1</v>
      </c>
      <c r="AJ14">
        <v>1</v>
      </c>
      <c r="AK14">
        <v>0</v>
      </c>
      <c r="AL14">
        <v>1</v>
      </c>
    </row>
    <row r="15" spans="1:38">
      <c r="A15" t="s">
        <v>53</v>
      </c>
      <c r="B15" t="s">
        <v>53</v>
      </c>
      <c r="C15">
        <v>185.076</v>
      </c>
      <c r="D15">
        <v>-1</v>
      </c>
      <c r="E15">
        <v>92.0345</v>
      </c>
      <c r="F15">
        <v>-1</v>
      </c>
      <c r="G15" s="28">
        <f t="shared" si="0"/>
        <v>1.29958833333333</v>
      </c>
      <c r="H15" t="s">
        <v>54</v>
      </c>
      <c r="I15">
        <v>77.9753</v>
      </c>
      <c r="J15">
        <v>1</v>
      </c>
      <c r="K15">
        <v>8</v>
      </c>
      <c r="L15">
        <v>3</v>
      </c>
      <c r="M15">
        <v>2</v>
      </c>
      <c r="N15">
        <v>300</v>
      </c>
      <c r="O15">
        <v>3</v>
      </c>
      <c r="P15">
        <v>50</v>
      </c>
      <c r="Q15">
        <v>3</v>
      </c>
      <c r="R15">
        <v>500</v>
      </c>
      <c r="S15" t="s">
        <v>39</v>
      </c>
      <c r="T15">
        <v>1.24022</v>
      </c>
      <c r="U15">
        <v>-1</v>
      </c>
      <c r="V15">
        <v>1</v>
      </c>
      <c r="W15">
        <v>-1</v>
      </c>
      <c r="X15">
        <v>1</v>
      </c>
      <c r="Y15">
        <v>0.5</v>
      </c>
      <c r="Z15">
        <v>0.999</v>
      </c>
      <c r="AA15" t="s">
        <v>40</v>
      </c>
      <c r="AB15" t="s">
        <v>41</v>
      </c>
      <c r="AC15">
        <v>5000</v>
      </c>
      <c r="AD15">
        <v>1</v>
      </c>
      <c r="AE15">
        <v>1</v>
      </c>
      <c r="AF15" t="s">
        <v>42</v>
      </c>
      <c r="AG15">
        <v>6</v>
      </c>
      <c r="AH15">
        <v>1</v>
      </c>
      <c r="AI15">
        <v>1</v>
      </c>
      <c r="AJ15">
        <v>1</v>
      </c>
      <c r="AK15">
        <v>0</v>
      </c>
      <c r="AL15">
        <v>5</v>
      </c>
    </row>
    <row r="16" spans="1:38">
      <c r="A16" t="s">
        <v>53</v>
      </c>
      <c r="B16" t="s">
        <v>53</v>
      </c>
      <c r="C16">
        <v>185.076</v>
      </c>
      <c r="D16">
        <v>-1</v>
      </c>
      <c r="E16">
        <v>61.0206</v>
      </c>
      <c r="F16">
        <v>-1</v>
      </c>
      <c r="G16" s="28">
        <f t="shared" si="0"/>
        <v>1.29867833333333</v>
      </c>
      <c r="H16" t="s">
        <v>54</v>
      </c>
      <c r="I16">
        <v>77.9207</v>
      </c>
      <c r="J16">
        <v>1</v>
      </c>
      <c r="K16">
        <v>8</v>
      </c>
      <c r="L16">
        <v>3</v>
      </c>
      <c r="M16">
        <v>2</v>
      </c>
      <c r="N16">
        <v>300</v>
      </c>
      <c r="O16">
        <v>3</v>
      </c>
      <c r="P16">
        <v>50</v>
      </c>
      <c r="Q16">
        <v>3</v>
      </c>
      <c r="R16">
        <v>500</v>
      </c>
      <c r="S16" t="s">
        <v>39</v>
      </c>
      <c r="T16">
        <v>1.2644</v>
      </c>
      <c r="U16">
        <v>-1</v>
      </c>
      <c r="V16">
        <v>1</v>
      </c>
      <c r="W16">
        <v>-1</v>
      </c>
      <c r="X16">
        <v>1</v>
      </c>
      <c r="Y16">
        <v>0.5</v>
      </c>
      <c r="Z16">
        <v>0.999</v>
      </c>
      <c r="AA16" t="s">
        <v>40</v>
      </c>
      <c r="AB16" t="s">
        <v>41</v>
      </c>
      <c r="AC16">
        <v>5000</v>
      </c>
      <c r="AD16">
        <v>2</v>
      </c>
      <c r="AE16">
        <v>0.969357</v>
      </c>
      <c r="AF16" t="s">
        <v>42</v>
      </c>
      <c r="AG16">
        <v>6</v>
      </c>
      <c r="AH16">
        <v>1</v>
      </c>
      <c r="AI16">
        <v>1</v>
      </c>
      <c r="AJ16">
        <v>1</v>
      </c>
      <c r="AK16">
        <v>0</v>
      </c>
      <c r="AL16">
        <v>5</v>
      </c>
    </row>
    <row r="17" spans="1:38">
      <c r="A17" t="s">
        <v>53</v>
      </c>
      <c r="B17" t="s">
        <v>53</v>
      </c>
      <c r="C17">
        <v>185.076</v>
      </c>
      <c r="D17">
        <v>-1</v>
      </c>
      <c r="E17">
        <v>74.024</v>
      </c>
      <c r="F17">
        <v>-1</v>
      </c>
      <c r="G17" s="28">
        <f t="shared" si="0"/>
        <v>1.289685</v>
      </c>
      <c r="H17" t="s">
        <v>54</v>
      </c>
      <c r="I17">
        <v>77.3811</v>
      </c>
      <c r="J17">
        <v>1</v>
      </c>
      <c r="K17">
        <v>8</v>
      </c>
      <c r="L17">
        <v>3</v>
      </c>
      <c r="M17">
        <v>2</v>
      </c>
      <c r="N17">
        <v>300</v>
      </c>
      <c r="O17">
        <v>3</v>
      </c>
      <c r="P17">
        <v>50</v>
      </c>
      <c r="Q17">
        <v>3</v>
      </c>
      <c r="R17">
        <v>500</v>
      </c>
      <c r="S17" t="s">
        <v>39</v>
      </c>
      <c r="T17">
        <v>1.80566</v>
      </c>
      <c r="U17">
        <v>-1</v>
      </c>
      <c r="V17">
        <v>1</v>
      </c>
      <c r="W17">
        <v>-1</v>
      </c>
      <c r="X17">
        <v>1</v>
      </c>
      <c r="Y17">
        <v>0.5</v>
      </c>
      <c r="Z17">
        <v>0.999</v>
      </c>
      <c r="AA17" t="s">
        <v>40</v>
      </c>
      <c r="AB17" t="s">
        <v>41</v>
      </c>
      <c r="AC17">
        <v>5000</v>
      </c>
      <c r="AD17">
        <v>3</v>
      </c>
      <c r="AE17">
        <v>0.38188</v>
      </c>
      <c r="AF17" t="s">
        <v>42</v>
      </c>
      <c r="AG17">
        <v>6</v>
      </c>
      <c r="AH17">
        <v>1</v>
      </c>
      <c r="AI17">
        <v>1</v>
      </c>
      <c r="AJ17">
        <v>1</v>
      </c>
      <c r="AK17">
        <v>0</v>
      </c>
      <c r="AL17">
        <v>5</v>
      </c>
    </row>
    <row r="18" spans="1:38">
      <c r="A18" t="s">
        <v>55</v>
      </c>
      <c r="B18" t="s">
        <v>55</v>
      </c>
      <c r="C18">
        <v>265.042</v>
      </c>
      <c r="D18">
        <v>-1</v>
      </c>
      <c r="E18">
        <v>78.959</v>
      </c>
      <c r="F18">
        <v>-1</v>
      </c>
      <c r="G18" s="28">
        <f t="shared" si="0"/>
        <v>1.31486</v>
      </c>
      <c r="H18" t="s">
        <v>56</v>
      </c>
      <c r="I18">
        <v>78.8916</v>
      </c>
      <c r="J18">
        <v>1</v>
      </c>
      <c r="K18">
        <v>8</v>
      </c>
      <c r="L18">
        <v>3</v>
      </c>
      <c r="M18">
        <v>2</v>
      </c>
      <c r="N18">
        <v>300</v>
      </c>
      <c r="O18">
        <v>3</v>
      </c>
      <c r="P18">
        <v>50</v>
      </c>
      <c r="Q18">
        <v>3</v>
      </c>
      <c r="R18">
        <v>500</v>
      </c>
      <c r="S18" t="s">
        <v>39</v>
      </c>
      <c r="T18">
        <v>1.53968</v>
      </c>
      <c r="U18">
        <v>-1</v>
      </c>
      <c r="V18">
        <v>1</v>
      </c>
      <c r="W18">
        <v>-1</v>
      </c>
      <c r="X18">
        <v>1</v>
      </c>
      <c r="Y18">
        <v>0.5</v>
      </c>
      <c r="Z18">
        <v>0.999</v>
      </c>
      <c r="AA18" t="s">
        <v>40</v>
      </c>
      <c r="AB18" t="s">
        <v>41</v>
      </c>
      <c r="AC18">
        <v>1000</v>
      </c>
      <c r="AD18">
        <v>1</v>
      </c>
      <c r="AE18">
        <v>1</v>
      </c>
      <c r="AF18" t="s">
        <v>42</v>
      </c>
      <c r="AG18">
        <v>6</v>
      </c>
      <c r="AH18">
        <v>1</v>
      </c>
      <c r="AI18">
        <v>1</v>
      </c>
      <c r="AJ18">
        <v>1</v>
      </c>
      <c r="AK18">
        <v>0</v>
      </c>
      <c r="AL18">
        <v>1</v>
      </c>
    </row>
    <row r="19" spans="1:38">
      <c r="A19" t="s">
        <v>55</v>
      </c>
      <c r="B19" t="s">
        <v>55</v>
      </c>
      <c r="C19">
        <v>265.042</v>
      </c>
      <c r="D19">
        <v>-1</v>
      </c>
      <c r="E19">
        <v>96.9696</v>
      </c>
      <c r="F19">
        <v>-1</v>
      </c>
      <c r="G19" s="28">
        <f t="shared" si="0"/>
        <v>1.31608333333333</v>
      </c>
      <c r="H19" t="s">
        <v>56</v>
      </c>
      <c r="I19">
        <v>78.965</v>
      </c>
      <c r="J19">
        <v>1</v>
      </c>
      <c r="K19">
        <v>8</v>
      </c>
      <c r="L19">
        <v>3</v>
      </c>
      <c r="M19">
        <v>2</v>
      </c>
      <c r="N19">
        <v>300</v>
      </c>
      <c r="O19">
        <v>3</v>
      </c>
      <c r="P19">
        <v>50</v>
      </c>
      <c r="Q19">
        <v>3</v>
      </c>
      <c r="R19">
        <v>500</v>
      </c>
      <c r="S19" t="s">
        <v>39</v>
      </c>
      <c r="T19">
        <v>1.49369</v>
      </c>
      <c r="U19">
        <v>-1</v>
      </c>
      <c r="V19">
        <v>1</v>
      </c>
      <c r="W19">
        <v>-1</v>
      </c>
      <c r="X19">
        <v>1</v>
      </c>
      <c r="Y19">
        <v>0.5</v>
      </c>
      <c r="Z19">
        <v>0.999</v>
      </c>
      <c r="AA19" t="s">
        <v>40</v>
      </c>
      <c r="AB19" t="s">
        <v>41</v>
      </c>
      <c r="AC19">
        <v>1000</v>
      </c>
      <c r="AD19">
        <v>2</v>
      </c>
      <c r="AE19">
        <v>0.905595</v>
      </c>
      <c r="AF19" t="s">
        <v>42</v>
      </c>
      <c r="AG19">
        <v>6</v>
      </c>
      <c r="AH19">
        <v>1</v>
      </c>
      <c r="AI19">
        <v>1</v>
      </c>
      <c r="AJ19">
        <v>1</v>
      </c>
      <c r="AK19">
        <v>0</v>
      </c>
      <c r="AL19">
        <v>1</v>
      </c>
    </row>
    <row r="20" spans="1:38">
      <c r="A20" t="s">
        <v>55</v>
      </c>
      <c r="B20" t="s">
        <v>55</v>
      </c>
      <c r="C20">
        <v>265.042</v>
      </c>
      <c r="D20">
        <v>-1</v>
      </c>
      <c r="E20">
        <v>140.987</v>
      </c>
      <c r="F20">
        <v>-1</v>
      </c>
      <c r="G20" s="28">
        <f t="shared" si="0"/>
        <v>1.31454666666667</v>
      </c>
      <c r="H20" t="s">
        <v>56</v>
      </c>
      <c r="I20">
        <v>78.8728</v>
      </c>
      <c r="J20">
        <v>1</v>
      </c>
      <c r="K20">
        <v>8</v>
      </c>
      <c r="L20">
        <v>3</v>
      </c>
      <c r="M20">
        <v>2</v>
      </c>
      <c r="N20">
        <v>300</v>
      </c>
      <c r="O20">
        <v>3</v>
      </c>
      <c r="P20">
        <v>50</v>
      </c>
      <c r="Q20">
        <v>3</v>
      </c>
      <c r="R20">
        <v>500</v>
      </c>
      <c r="S20" t="s">
        <v>39</v>
      </c>
      <c r="T20">
        <v>1.5002</v>
      </c>
      <c r="U20">
        <v>-1</v>
      </c>
      <c r="V20">
        <v>1</v>
      </c>
      <c r="W20">
        <v>-1</v>
      </c>
      <c r="X20">
        <v>1</v>
      </c>
      <c r="Y20">
        <v>0.5</v>
      </c>
      <c r="Z20">
        <v>0.999</v>
      </c>
      <c r="AA20" t="s">
        <v>40</v>
      </c>
      <c r="AB20" t="s">
        <v>41</v>
      </c>
      <c r="AC20">
        <v>1000</v>
      </c>
      <c r="AD20">
        <v>3</v>
      </c>
      <c r="AE20">
        <v>0.0774938</v>
      </c>
      <c r="AF20" t="s">
        <v>42</v>
      </c>
      <c r="AG20">
        <v>6</v>
      </c>
      <c r="AH20">
        <v>1</v>
      </c>
      <c r="AI20">
        <v>1</v>
      </c>
      <c r="AJ20">
        <v>1</v>
      </c>
      <c r="AK20">
        <v>0</v>
      </c>
      <c r="AL20">
        <v>1</v>
      </c>
    </row>
    <row r="21" spans="1:38">
      <c r="A21" t="s">
        <v>57</v>
      </c>
      <c r="B21" t="s">
        <v>57</v>
      </c>
      <c r="C21">
        <v>183</v>
      </c>
      <c r="D21">
        <v>-1</v>
      </c>
      <c r="E21">
        <v>139</v>
      </c>
      <c r="F21">
        <v>-1</v>
      </c>
      <c r="G21" s="28">
        <f t="shared" si="0"/>
        <v>4.41978333333333</v>
      </c>
      <c r="H21" t="s">
        <v>58</v>
      </c>
      <c r="I21">
        <v>265.187</v>
      </c>
      <c r="J21">
        <v>1</v>
      </c>
      <c r="K21">
        <v>8</v>
      </c>
      <c r="L21">
        <v>3</v>
      </c>
      <c r="M21">
        <v>2</v>
      </c>
      <c r="N21">
        <v>300</v>
      </c>
      <c r="O21">
        <v>3</v>
      </c>
      <c r="P21">
        <v>50</v>
      </c>
      <c r="Q21">
        <v>3</v>
      </c>
      <c r="R21">
        <v>500</v>
      </c>
      <c r="S21" t="s">
        <v>39</v>
      </c>
      <c r="T21">
        <v>1.3535</v>
      </c>
      <c r="U21">
        <v>-1</v>
      </c>
      <c r="V21">
        <v>1</v>
      </c>
      <c r="W21">
        <v>-1</v>
      </c>
      <c r="X21">
        <v>1</v>
      </c>
      <c r="Y21">
        <v>0.5</v>
      </c>
      <c r="Z21">
        <v>0.999</v>
      </c>
      <c r="AA21" t="s">
        <v>40</v>
      </c>
      <c r="AB21" t="s">
        <v>41</v>
      </c>
      <c r="AC21">
        <v>500</v>
      </c>
      <c r="AD21">
        <v>1</v>
      </c>
      <c r="AE21">
        <v>1</v>
      </c>
      <c r="AF21" t="s">
        <v>42</v>
      </c>
      <c r="AG21">
        <v>6</v>
      </c>
      <c r="AH21">
        <v>1</v>
      </c>
      <c r="AI21">
        <v>1</v>
      </c>
      <c r="AJ21">
        <v>1</v>
      </c>
      <c r="AK21">
        <v>0</v>
      </c>
      <c r="AL21">
        <v>0.5</v>
      </c>
    </row>
    <row r="22" spans="1:38">
      <c r="A22" t="s">
        <v>57</v>
      </c>
      <c r="B22" t="s">
        <v>57</v>
      </c>
      <c r="C22">
        <v>183</v>
      </c>
      <c r="D22">
        <v>-1</v>
      </c>
      <c r="E22">
        <v>82</v>
      </c>
      <c r="F22">
        <v>-1</v>
      </c>
      <c r="G22" s="28">
        <f t="shared" si="0"/>
        <v>4.41923333333333</v>
      </c>
      <c r="H22" t="s">
        <v>58</v>
      </c>
      <c r="I22">
        <v>265.154</v>
      </c>
      <c r="J22">
        <v>1</v>
      </c>
      <c r="K22">
        <v>8</v>
      </c>
      <c r="L22">
        <v>3</v>
      </c>
      <c r="M22">
        <v>2</v>
      </c>
      <c r="N22">
        <v>300</v>
      </c>
      <c r="O22">
        <v>3</v>
      </c>
      <c r="P22">
        <v>50</v>
      </c>
      <c r="Q22">
        <v>3</v>
      </c>
      <c r="R22">
        <v>500</v>
      </c>
      <c r="S22" t="s">
        <v>39</v>
      </c>
      <c r="T22">
        <v>1.3553</v>
      </c>
      <c r="U22">
        <v>-1</v>
      </c>
      <c r="V22">
        <v>1</v>
      </c>
      <c r="W22">
        <v>-1</v>
      </c>
      <c r="X22">
        <v>1</v>
      </c>
      <c r="Y22">
        <v>0.5</v>
      </c>
      <c r="Z22">
        <v>0.999</v>
      </c>
      <c r="AA22" t="s">
        <v>40</v>
      </c>
      <c r="AB22" t="s">
        <v>41</v>
      </c>
      <c r="AC22">
        <v>500</v>
      </c>
      <c r="AD22">
        <v>2</v>
      </c>
      <c r="AE22">
        <v>0.447036</v>
      </c>
      <c r="AF22" t="s">
        <v>42</v>
      </c>
      <c r="AG22">
        <v>6</v>
      </c>
      <c r="AH22">
        <v>1</v>
      </c>
      <c r="AI22">
        <v>1</v>
      </c>
      <c r="AJ22">
        <v>1</v>
      </c>
      <c r="AK22">
        <v>0</v>
      </c>
      <c r="AL22">
        <v>0.5</v>
      </c>
    </row>
    <row r="23" spans="1:38">
      <c r="A23" t="s">
        <v>59</v>
      </c>
      <c r="B23" t="s">
        <v>59</v>
      </c>
      <c r="C23">
        <v>176.1</v>
      </c>
      <c r="D23">
        <v>-1</v>
      </c>
      <c r="E23">
        <v>132.1</v>
      </c>
      <c r="F23">
        <v>-1</v>
      </c>
      <c r="G23" s="28">
        <f t="shared" si="0"/>
        <v>5.02246666666667</v>
      </c>
      <c r="H23" t="s">
        <v>60</v>
      </c>
      <c r="I23">
        <v>301.348</v>
      </c>
      <c r="J23">
        <v>1</v>
      </c>
      <c r="K23">
        <v>8</v>
      </c>
      <c r="L23">
        <v>3</v>
      </c>
      <c r="M23">
        <v>2</v>
      </c>
      <c r="N23">
        <v>300</v>
      </c>
      <c r="O23">
        <v>3</v>
      </c>
      <c r="P23">
        <v>50</v>
      </c>
      <c r="Q23">
        <v>3</v>
      </c>
      <c r="R23">
        <v>500</v>
      </c>
      <c r="S23" t="s">
        <v>39</v>
      </c>
      <c r="T23">
        <v>1.18888</v>
      </c>
      <c r="U23">
        <v>-1</v>
      </c>
      <c r="V23">
        <v>1</v>
      </c>
      <c r="W23">
        <v>-1</v>
      </c>
      <c r="X23">
        <v>1</v>
      </c>
      <c r="Y23">
        <v>0.5</v>
      </c>
      <c r="Z23">
        <v>0.999</v>
      </c>
      <c r="AA23" t="s">
        <v>40</v>
      </c>
      <c r="AB23" t="s">
        <v>41</v>
      </c>
      <c r="AC23">
        <v>1000</v>
      </c>
      <c r="AD23">
        <v>1</v>
      </c>
      <c r="AE23">
        <v>1</v>
      </c>
      <c r="AF23" t="s">
        <v>42</v>
      </c>
      <c r="AG23">
        <v>6</v>
      </c>
      <c r="AH23">
        <v>1</v>
      </c>
      <c r="AI23">
        <v>1</v>
      </c>
      <c r="AJ23">
        <v>1</v>
      </c>
      <c r="AK23">
        <v>0</v>
      </c>
      <c r="AL23">
        <v>1</v>
      </c>
    </row>
    <row r="24" spans="1:38">
      <c r="A24" t="s">
        <v>59</v>
      </c>
      <c r="B24" t="s">
        <v>59</v>
      </c>
      <c r="C24">
        <v>176.1</v>
      </c>
      <c r="D24">
        <v>-1</v>
      </c>
      <c r="E24">
        <v>129</v>
      </c>
      <c r="F24">
        <v>-1</v>
      </c>
      <c r="G24" s="28">
        <f t="shared" si="0"/>
        <v>5.02405</v>
      </c>
      <c r="H24" t="s">
        <v>60</v>
      </c>
      <c r="I24">
        <v>301.443</v>
      </c>
      <c r="J24">
        <v>1</v>
      </c>
      <c r="K24">
        <v>8</v>
      </c>
      <c r="L24">
        <v>3</v>
      </c>
      <c r="M24">
        <v>2</v>
      </c>
      <c r="N24">
        <v>300</v>
      </c>
      <c r="O24">
        <v>3</v>
      </c>
      <c r="P24">
        <v>50</v>
      </c>
      <c r="Q24">
        <v>3</v>
      </c>
      <c r="R24">
        <v>500</v>
      </c>
      <c r="S24" t="s">
        <v>39</v>
      </c>
      <c r="T24">
        <v>1.19769</v>
      </c>
      <c r="U24">
        <v>-1</v>
      </c>
      <c r="V24">
        <v>1</v>
      </c>
      <c r="W24">
        <v>-1</v>
      </c>
      <c r="X24">
        <v>1</v>
      </c>
      <c r="Y24">
        <v>0.5</v>
      </c>
      <c r="Z24">
        <v>0.999</v>
      </c>
      <c r="AA24" t="s">
        <v>40</v>
      </c>
      <c r="AB24" t="s">
        <v>41</v>
      </c>
      <c r="AC24">
        <v>1000</v>
      </c>
      <c r="AD24">
        <v>2</v>
      </c>
      <c r="AE24">
        <v>0.107789</v>
      </c>
      <c r="AF24" t="s">
        <v>42</v>
      </c>
      <c r="AG24">
        <v>6</v>
      </c>
      <c r="AH24">
        <v>1</v>
      </c>
      <c r="AI24">
        <v>1</v>
      </c>
      <c r="AJ24">
        <v>1</v>
      </c>
      <c r="AK24">
        <v>0</v>
      </c>
      <c r="AL24">
        <v>1</v>
      </c>
    </row>
    <row r="25" spans="1:38">
      <c r="A25" t="s">
        <v>61</v>
      </c>
      <c r="B25" t="s">
        <v>61</v>
      </c>
      <c r="C25">
        <v>178.1</v>
      </c>
      <c r="D25">
        <v>1</v>
      </c>
      <c r="E25">
        <v>132.1</v>
      </c>
      <c r="F25">
        <v>1</v>
      </c>
      <c r="G25" s="28">
        <f t="shared" si="0"/>
        <v>5.0211</v>
      </c>
      <c r="H25" t="s">
        <v>62</v>
      </c>
      <c r="I25">
        <v>301.266</v>
      </c>
      <c r="J25">
        <v>1</v>
      </c>
      <c r="K25">
        <v>8</v>
      </c>
      <c r="L25">
        <v>3</v>
      </c>
      <c r="M25">
        <v>2</v>
      </c>
      <c r="N25">
        <v>300</v>
      </c>
      <c r="O25">
        <v>3</v>
      </c>
      <c r="P25">
        <v>50</v>
      </c>
      <c r="Q25">
        <v>3</v>
      </c>
      <c r="R25">
        <v>500</v>
      </c>
      <c r="S25" t="s">
        <v>39</v>
      </c>
      <c r="T25">
        <v>1.2838</v>
      </c>
      <c r="U25">
        <v>-1</v>
      </c>
      <c r="V25">
        <v>1</v>
      </c>
      <c r="W25">
        <v>-1</v>
      </c>
      <c r="X25">
        <v>1</v>
      </c>
      <c r="Y25">
        <v>0.5</v>
      </c>
      <c r="Z25">
        <v>0.999</v>
      </c>
      <c r="AA25" t="s">
        <v>40</v>
      </c>
      <c r="AB25" t="s">
        <v>41</v>
      </c>
      <c r="AC25">
        <v>1000</v>
      </c>
      <c r="AD25">
        <v>1</v>
      </c>
      <c r="AE25">
        <v>1</v>
      </c>
      <c r="AF25" t="s">
        <v>42</v>
      </c>
      <c r="AG25">
        <v>6</v>
      </c>
      <c r="AH25">
        <v>1</v>
      </c>
      <c r="AI25">
        <v>1</v>
      </c>
      <c r="AJ25">
        <v>1</v>
      </c>
      <c r="AK25">
        <v>0</v>
      </c>
      <c r="AL25">
        <v>1</v>
      </c>
    </row>
    <row r="26" spans="1:38">
      <c r="A26" t="s">
        <v>63</v>
      </c>
      <c r="B26" t="s">
        <v>63</v>
      </c>
      <c r="C26">
        <v>152.06</v>
      </c>
      <c r="D26">
        <v>-1</v>
      </c>
      <c r="E26">
        <v>107.067</v>
      </c>
      <c r="F26">
        <v>-1</v>
      </c>
      <c r="G26" s="28">
        <f t="shared" si="0"/>
        <v>1.29135833333333</v>
      </c>
      <c r="H26" t="s">
        <v>64</v>
      </c>
      <c r="I26">
        <v>77.4815</v>
      </c>
      <c r="J26">
        <v>1</v>
      </c>
      <c r="K26">
        <v>8</v>
      </c>
      <c r="L26">
        <v>3</v>
      </c>
      <c r="M26">
        <v>2</v>
      </c>
      <c r="N26">
        <v>300</v>
      </c>
      <c r="O26">
        <v>3</v>
      </c>
      <c r="P26">
        <v>50</v>
      </c>
      <c r="Q26">
        <v>3</v>
      </c>
      <c r="R26">
        <v>500</v>
      </c>
      <c r="S26" t="s">
        <v>39</v>
      </c>
      <c r="T26">
        <v>1.18992</v>
      </c>
      <c r="U26">
        <v>-1</v>
      </c>
      <c r="V26">
        <v>1</v>
      </c>
      <c r="W26">
        <v>-1</v>
      </c>
      <c r="X26">
        <v>1</v>
      </c>
      <c r="Y26">
        <v>0.5</v>
      </c>
      <c r="Z26">
        <v>0.999</v>
      </c>
      <c r="AA26" t="s">
        <v>40</v>
      </c>
      <c r="AB26" t="s">
        <v>41</v>
      </c>
      <c r="AC26">
        <v>1000</v>
      </c>
      <c r="AD26">
        <v>1</v>
      </c>
      <c r="AE26">
        <v>1</v>
      </c>
      <c r="AF26" t="s">
        <v>42</v>
      </c>
      <c r="AG26">
        <v>6</v>
      </c>
      <c r="AH26">
        <v>1</v>
      </c>
      <c r="AI26">
        <v>1</v>
      </c>
      <c r="AJ26">
        <v>1</v>
      </c>
      <c r="AK26">
        <v>0</v>
      </c>
      <c r="AL26">
        <v>1</v>
      </c>
    </row>
    <row r="27" spans="1:38">
      <c r="A27" t="s">
        <v>63</v>
      </c>
      <c r="B27" t="s">
        <v>63</v>
      </c>
      <c r="C27">
        <v>152.06</v>
      </c>
      <c r="D27">
        <v>-1</v>
      </c>
      <c r="E27">
        <v>134.049</v>
      </c>
      <c r="F27">
        <v>-1</v>
      </c>
      <c r="G27" s="28">
        <f t="shared" si="0"/>
        <v>1.29075333333333</v>
      </c>
      <c r="H27" t="s">
        <v>64</v>
      </c>
      <c r="I27">
        <v>77.4452</v>
      </c>
      <c r="J27">
        <v>1</v>
      </c>
      <c r="K27">
        <v>8</v>
      </c>
      <c r="L27">
        <v>3</v>
      </c>
      <c r="M27">
        <v>2</v>
      </c>
      <c r="N27">
        <v>300</v>
      </c>
      <c r="O27">
        <v>3</v>
      </c>
      <c r="P27">
        <v>50</v>
      </c>
      <c r="Q27">
        <v>3</v>
      </c>
      <c r="R27">
        <v>500</v>
      </c>
      <c r="S27" t="s">
        <v>39</v>
      </c>
      <c r="T27">
        <v>1.20951</v>
      </c>
      <c r="U27">
        <v>-1</v>
      </c>
      <c r="V27">
        <v>1</v>
      </c>
      <c r="W27">
        <v>-1</v>
      </c>
      <c r="X27">
        <v>1</v>
      </c>
      <c r="Y27">
        <v>0.5</v>
      </c>
      <c r="Z27">
        <v>0.999</v>
      </c>
      <c r="AA27" t="s">
        <v>40</v>
      </c>
      <c r="AB27" t="s">
        <v>41</v>
      </c>
      <c r="AC27">
        <v>1000</v>
      </c>
      <c r="AD27">
        <v>2</v>
      </c>
      <c r="AE27">
        <v>0.747704</v>
      </c>
      <c r="AF27" t="s">
        <v>42</v>
      </c>
      <c r="AG27">
        <v>6</v>
      </c>
      <c r="AH27">
        <v>1</v>
      </c>
      <c r="AI27">
        <v>1</v>
      </c>
      <c r="AJ27">
        <v>1</v>
      </c>
      <c r="AK27">
        <v>0</v>
      </c>
      <c r="AL27">
        <v>1</v>
      </c>
    </row>
    <row r="28" spans="1:38">
      <c r="A28" t="s">
        <v>65</v>
      </c>
      <c r="B28" t="s">
        <v>65</v>
      </c>
      <c r="C28">
        <v>154.074</v>
      </c>
      <c r="D28">
        <v>1</v>
      </c>
      <c r="E28">
        <v>89.0546</v>
      </c>
      <c r="F28">
        <v>1</v>
      </c>
      <c r="G28" s="28">
        <f t="shared" si="0"/>
        <v>1.290405</v>
      </c>
      <c r="H28" t="s">
        <v>66</v>
      </c>
      <c r="I28">
        <v>77.4243</v>
      </c>
      <c r="J28">
        <v>1</v>
      </c>
      <c r="K28">
        <v>8</v>
      </c>
      <c r="L28">
        <v>3</v>
      </c>
      <c r="M28">
        <v>2</v>
      </c>
      <c r="N28">
        <v>300</v>
      </c>
      <c r="O28">
        <v>3</v>
      </c>
      <c r="P28">
        <v>50</v>
      </c>
      <c r="Q28">
        <v>3</v>
      </c>
      <c r="R28">
        <v>500</v>
      </c>
      <c r="S28" t="s">
        <v>39</v>
      </c>
      <c r="T28">
        <v>1.30878</v>
      </c>
      <c r="U28">
        <v>-1</v>
      </c>
      <c r="V28">
        <v>1</v>
      </c>
      <c r="W28">
        <v>-1</v>
      </c>
      <c r="X28">
        <v>1</v>
      </c>
      <c r="Y28">
        <v>0.5</v>
      </c>
      <c r="Z28">
        <v>0.999</v>
      </c>
      <c r="AA28" t="s">
        <v>40</v>
      </c>
      <c r="AB28" t="s">
        <v>41</v>
      </c>
      <c r="AC28">
        <v>1000</v>
      </c>
      <c r="AD28">
        <v>1</v>
      </c>
      <c r="AE28">
        <v>1</v>
      </c>
      <c r="AF28" t="s">
        <v>42</v>
      </c>
      <c r="AG28">
        <v>6</v>
      </c>
      <c r="AH28">
        <v>1</v>
      </c>
      <c r="AI28">
        <v>1</v>
      </c>
      <c r="AJ28">
        <v>1</v>
      </c>
      <c r="AK28">
        <v>0</v>
      </c>
      <c r="AL28">
        <v>1</v>
      </c>
    </row>
    <row r="29" spans="1:38">
      <c r="A29" t="s">
        <v>65</v>
      </c>
      <c r="B29" t="s">
        <v>65</v>
      </c>
      <c r="C29">
        <v>154.074</v>
      </c>
      <c r="D29">
        <v>1</v>
      </c>
      <c r="E29">
        <v>107.065</v>
      </c>
      <c r="F29">
        <v>1</v>
      </c>
      <c r="G29" s="28">
        <f t="shared" si="0"/>
        <v>1.28977</v>
      </c>
      <c r="H29" t="s">
        <v>66</v>
      </c>
      <c r="I29">
        <v>77.3862</v>
      </c>
      <c r="J29">
        <v>1</v>
      </c>
      <c r="K29">
        <v>8</v>
      </c>
      <c r="L29">
        <v>3</v>
      </c>
      <c r="M29">
        <v>2</v>
      </c>
      <c r="N29">
        <v>300</v>
      </c>
      <c r="O29">
        <v>3</v>
      </c>
      <c r="P29">
        <v>50</v>
      </c>
      <c r="Q29">
        <v>3</v>
      </c>
      <c r="R29">
        <v>500</v>
      </c>
      <c r="S29" t="s">
        <v>39</v>
      </c>
      <c r="T29">
        <v>1.3101</v>
      </c>
      <c r="U29">
        <v>-1</v>
      </c>
      <c r="V29">
        <v>1</v>
      </c>
      <c r="W29">
        <v>-1</v>
      </c>
      <c r="X29">
        <v>1</v>
      </c>
      <c r="Y29">
        <v>0.5</v>
      </c>
      <c r="Z29">
        <v>0.999</v>
      </c>
      <c r="AA29" t="s">
        <v>40</v>
      </c>
      <c r="AB29" t="s">
        <v>41</v>
      </c>
      <c r="AC29">
        <v>1000</v>
      </c>
      <c r="AD29">
        <v>2</v>
      </c>
      <c r="AE29">
        <v>0.237391</v>
      </c>
      <c r="AF29" t="s">
        <v>42</v>
      </c>
      <c r="AG29">
        <v>6</v>
      </c>
      <c r="AH29">
        <v>1</v>
      </c>
      <c r="AI29">
        <v>1</v>
      </c>
      <c r="AJ29">
        <v>1</v>
      </c>
      <c r="AK29">
        <v>0</v>
      </c>
      <c r="AL29">
        <v>1</v>
      </c>
    </row>
    <row r="30" spans="1:38">
      <c r="A30" t="s">
        <v>67</v>
      </c>
      <c r="B30" t="s">
        <v>67</v>
      </c>
      <c r="C30">
        <v>92.1</v>
      </c>
      <c r="D30">
        <v>-1</v>
      </c>
      <c r="E30">
        <v>42.1</v>
      </c>
      <c r="F30">
        <v>-1</v>
      </c>
      <c r="G30" s="28">
        <f t="shared" si="0"/>
        <v>1.79503333333333</v>
      </c>
      <c r="H30" t="s">
        <v>68</v>
      </c>
      <c r="I30">
        <v>107.702</v>
      </c>
      <c r="J30">
        <v>1</v>
      </c>
      <c r="K30">
        <v>8</v>
      </c>
      <c r="L30">
        <v>3</v>
      </c>
      <c r="M30">
        <v>2</v>
      </c>
      <c r="N30">
        <v>300</v>
      </c>
      <c r="O30">
        <v>3</v>
      </c>
      <c r="P30">
        <v>50</v>
      </c>
      <c r="Q30">
        <v>3</v>
      </c>
      <c r="R30">
        <v>500</v>
      </c>
      <c r="S30" t="s">
        <v>39</v>
      </c>
      <c r="T30">
        <v>1.17529</v>
      </c>
      <c r="U30">
        <v>-1</v>
      </c>
      <c r="V30">
        <v>1</v>
      </c>
      <c r="W30">
        <v>-1</v>
      </c>
      <c r="X30">
        <v>1</v>
      </c>
      <c r="Y30">
        <v>0.5</v>
      </c>
      <c r="Z30">
        <v>0.999</v>
      </c>
      <c r="AA30" t="s">
        <v>40</v>
      </c>
      <c r="AB30" t="s">
        <v>41</v>
      </c>
      <c r="AC30">
        <v>8000</v>
      </c>
      <c r="AD30">
        <v>1</v>
      </c>
      <c r="AE30">
        <v>1</v>
      </c>
      <c r="AF30" t="s">
        <v>42</v>
      </c>
      <c r="AG30">
        <v>6</v>
      </c>
      <c r="AH30">
        <v>1</v>
      </c>
      <c r="AI30">
        <v>1</v>
      </c>
      <c r="AJ30">
        <v>1</v>
      </c>
      <c r="AK30">
        <v>0</v>
      </c>
      <c r="AL30">
        <v>8</v>
      </c>
    </row>
    <row r="31" spans="1:38">
      <c r="A31" t="s">
        <v>67</v>
      </c>
      <c r="B31" t="s">
        <v>67</v>
      </c>
      <c r="C31">
        <v>92.1</v>
      </c>
      <c r="D31">
        <v>-1</v>
      </c>
      <c r="E31">
        <v>73.2</v>
      </c>
      <c r="F31">
        <v>-1</v>
      </c>
      <c r="G31" s="28">
        <f t="shared" si="0"/>
        <v>1.79476666666667</v>
      </c>
      <c r="H31" t="s">
        <v>68</v>
      </c>
      <c r="I31">
        <v>107.686</v>
      </c>
      <c r="J31">
        <v>1</v>
      </c>
      <c r="K31">
        <v>8</v>
      </c>
      <c r="L31">
        <v>3</v>
      </c>
      <c r="M31">
        <v>2</v>
      </c>
      <c r="N31">
        <v>300</v>
      </c>
      <c r="O31">
        <v>3</v>
      </c>
      <c r="P31">
        <v>50</v>
      </c>
      <c r="Q31">
        <v>3</v>
      </c>
      <c r="R31">
        <v>500</v>
      </c>
      <c r="S31" t="s">
        <v>39</v>
      </c>
      <c r="T31">
        <v>1.18324</v>
      </c>
      <c r="U31">
        <v>-1</v>
      </c>
      <c r="V31">
        <v>1</v>
      </c>
      <c r="W31">
        <v>-1</v>
      </c>
      <c r="X31">
        <v>1</v>
      </c>
      <c r="Y31">
        <v>0.5</v>
      </c>
      <c r="Z31">
        <v>0.999</v>
      </c>
      <c r="AA31" t="s">
        <v>40</v>
      </c>
      <c r="AB31" t="s">
        <v>41</v>
      </c>
      <c r="AC31">
        <v>8000</v>
      </c>
      <c r="AD31">
        <v>2</v>
      </c>
      <c r="AE31">
        <v>0.0970665</v>
      </c>
      <c r="AF31" t="s">
        <v>42</v>
      </c>
      <c r="AG31">
        <v>6</v>
      </c>
      <c r="AH31">
        <v>1</v>
      </c>
      <c r="AI31">
        <v>1</v>
      </c>
      <c r="AJ31">
        <v>1</v>
      </c>
      <c r="AK31">
        <v>0</v>
      </c>
      <c r="AL31">
        <v>8</v>
      </c>
    </row>
    <row r="32" spans="1:38">
      <c r="A32" t="s">
        <v>67</v>
      </c>
      <c r="B32" t="s">
        <v>67</v>
      </c>
      <c r="C32">
        <v>92.1</v>
      </c>
      <c r="D32">
        <v>-1</v>
      </c>
      <c r="E32">
        <v>45.1</v>
      </c>
      <c r="F32">
        <v>-1</v>
      </c>
      <c r="G32" s="28">
        <f t="shared" si="0"/>
        <v>1.79366666666667</v>
      </c>
      <c r="H32" t="s">
        <v>68</v>
      </c>
      <c r="I32">
        <v>107.62</v>
      </c>
      <c r="J32">
        <v>1</v>
      </c>
      <c r="K32">
        <v>8</v>
      </c>
      <c r="L32">
        <v>3</v>
      </c>
      <c r="M32">
        <v>2</v>
      </c>
      <c r="N32">
        <v>300</v>
      </c>
      <c r="O32">
        <v>3</v>
      </c>
      <c r="P32">
        <v>50</v>
      </c>
      <c r="Q32">
        <v>3</v>
      </c>
      <c r="R32">
        <v>500</v>
      </c>
      <c r="S32" t="s">
        <v>39</v>
      </c>
      <c r="T32">
        <v>1.20111</v>
      </c>
      <c r="U32">
        <v>-1</v>
      </c>
      <c r="V32">
        <v>1</v>
      </c>
      <c r="W32">
        <v>-1</v>
      </c>
      <c r="X32">
        <v>1</v>
      </c>
      <c r="Y32">
        <v>0.5</v>
      </c>
      <c r="Z32">
        <v>0.999</v>
      </c>
      <c r="AA32" t="s">
        <v>40</v>
      </c>
      <c r="AB32" t="s">
        <v>41</v>
      </c>
      <c r="AC32">
        <v>8000</v>
      </c>
      <c r="AD32">
        <v>3</v>
      </c>
      <c r="AE32">
        <v>0.0350907</v>
      </c>
      <c r="AF32" t="s">
        <v>42</v>
      </c>
      <c r="AG32">
        <v>6</v>
      </c>
      <c r="AH32">
        <v>1</v>
      </c>
      <c r="AI32">
        <v>1</v>
      </c>
      <c r="AJ32">
        <v>1</v>
      </c>
      <c r="AK32">
        <v>0</v>
      </c>
      <c r="AL32">
        <v>8</v>
      </c>
    </row>
    <row r="33" spans="1:38">
      <c r="A33" t="s">
        <v>69</v>
      </c>
      <c r="B33" t="s">
        <v>69</v>
      </c>
      <c r="C33">
        <v>135</v>
      </c>
      <c r="D33">
        <v>1</v>
      </c>
      <c r="E33">
        <v>89</v>
      </c>
      <c r="F33">
        <v>1</v>
      </c>
      <c r="G33" s="28">
        <f t="shared" si="0"/>
        <v>3.03823333333333</v>
      </c>
      <c r="H33" t="s">
        <v>70</v>
      </c>
      <c r="I33">
        <v>182.294</v>
      </c>
      <c r="J33">
        <v>1</v>
      </c>
      <c r="K33">
        <v>8</v>
      </c>
      <c r="L33">
        <v>3</v>
      </c>
      <c r="M33">
        <v>2</v>
      </c>
      <c r="N33">
        <v>300</v>
      </c>
      <c r="O33">
        <v>3</v>
      </c>
      <c r="P33">
        <v>50</v>
      </c>
      <c r="Q33">
        <v>3</v>
      </c>
      <c r="R33">
        <v>500</v>
      </c>
      <c r="S33" t="s">
        <v>39</v>
      </c>
      <c r="T33">
        <v>4.40248</v>
      </c>
      <c r="U33">
        <v>-1</v>
      </c>
      <c r="V33">
        <v>1</v>
      </c>
      <c r="W33">
        <v>-1</v>
      </c>
      <c r="X33">
        <v>1</v>
      </c>
      <c r="Y33">
        <v>0.5</v>
      </c>
      <c r="Z33">
        <v>0.999</v>
      </c>
      <c r="AA33" t="s">
        <v>40</v>
      </c>
      <c r="AB33" t="s">
        <v>41</v>
      </c>
      <c r="AC33">
        <v>1000</v>
      </c>
      <c r="AD33">
        <v>1</v>
      </c>
      <c r="AE33">
        <v>1</v>
      </c>
      <c r="AF33" t="s">
        <v>42</v>
      </c>
      <c r="AG33">
        <v>6</v>
      </c>
      <c r="AH33">
        <v>1</v>
      </c>
      <c r="AI33">
        <v>1</v>
      </c>
      <c r="AJ33">
        <v>1</v>
      </c>
      <c r="AK33">
        <v>0</v>
      </c>
      <c r="AL33">
        <v>1</v>
      </c>
    </row>
    <row r="34" spans="1:38">
      <c r="A34" t="s">
        <v>69</v>
      </c>
      <c r="B34" t="s">
        <v>69</v>
      </c>
      <c r="C34">
        <v>135</v>
      </c>
      <c r="D34">
        <v>1</v>
      </c>
      <c r="E34">
        <v>72</v>
      </c>
      <c r="F34">
        <v>1</v>
      </c>
      <c r="G34" s="28">
        <f t="shared" si="0"/>
        <v>3.03095</v>
      </c>
      <c r="H34" t="s">
        <v>70</v>
      </c>
      <c r="I34">
        <v>181.857</v>
      </c>
      <c r="J34">
        <v>1</v>
      </c>
      <c r="K34">
        <v>8</v>
      </c>
      <c r="L34">
        <v>3</v>
      </c>
      <c r="M34">
        <v>2</v>
      </c>
      <c r="N34">
        <v>300</v>
      </c>
      <c r="O34">
        <v>3</v>
      </c>
      <c r="P34">
        <v>50</v>
      </c>
      <c r="Q34">
        <v>3</v>
      </c>
      <c r="R34">
        <v>500</v>
      </c>
      <c r="S34" t="s">
        <v>39</v>
      </c>
      <c r="T34">
        <v>6.08996</v>
      </c>
      <c r="U34">
        <v>-1</v>
      </c>
      <c r="V34">
        <v>1</v>
      </c>
      <c r="W34">
        <v>-1</v>
      </c>
      <c r="X34">
        <v>1</v>
      </c>
      <c r="Y34">
        <v>0.5</v>
      </c>
      <c r="Z34">
        <v>0.999</v>
      </c>
      <c r="AA34" t="s">
        <v>40</v>
      </c>
      <c r="AB34" t="s">
        <v>41</v>
      </c>
      <c r="AC34">
        <v>1000</v>
      </c>
      <c r="AD34">
        <v>2</v>
      </c>
      <c r="AE34">
        <v>0.00337942</v>
      </c>
      <c r="AF34" t="s">
        <v>42</v>
      </c>
      <c r="AG34">
        <v>6</v>
      </c>
      <c r="AH34">
        <v>1</v>
      </c>
      <c r="AI34">
        <v>1</v>
      </c>
      <c r="AJ34">
        <v>1</v>
      </c>
      <c r="AK34">
        <v>0</v>
      </c>
      <c r="AL34">
        <v>1</v>
      </c>
    </row>
    <row r="35" spans="1:38">
      <c r="A35" t="s">
        <v>71</v>
      </c>
      <c r="B35" t="s">
        <v>71</v>
      </c>
      <c r="C35">
        <v>120.9</v>
      </c>
      <c r="D35">
        <v>-1</v>
      </c>
      <c r="E35">
        <v>77</v>
      </c>
      <c r="F35">
        <v>-1</v>
      </c>
      <c r="G35" s="28">
        <f t="shared" ref="G35:G66" si="1">I35/60</f>
        <v>2.8486</v>
      </c>
      <c r="H35" t="s">
        <v>72</v>
      </c>
      <c r="I35">
        <v>170.916</v>
      </c>
      <c r="J35">
        <v>1</v>
      </c>
      <c r="K35">
        <v>8</v>
      </c>
      <c r="L35">
        <v>3</v>
      </c>
      <c r="M35">
        <v>2</v>
      </c>
      <c r="N35">
        <v>300</v>
      </c>
      <c r="O35">
        <v>3</v>
      </c>
      <c r="P35">
        <v>50</v>
      </c>
      <c r="Q35">
        <v>3</v>
      </c>
      <c r="R35">
        <v>500</v>
      </c>
      <c r="S35" t="s">
        <v>39</v>
      </c>
      <c r="T35">
        <v>5.14194</v>
      </c>
      <c r="U35">
        <v>-1</v>
      </c>
      <c r="V35">
        <v>1</v>
      </c>
      <c r="W35">
        <v>-1</v>
      </c>
      <c r="X35">
        <v>1</v>
      </c>
      <c r="Y35">
        <v>0.5</v>
      </c>
      <c r="Z35">
        <v>0.999</v>
      </c>
      <c r="AA35" t="s">
        <v>40</v>
      </c>
      <c r="AB35" t="s">
        <v>41</v>
      </c>
      <c r="AC35">
        <v>4000</v>
      </c>
      <c r="AD35">
        <v>1</v>
      </c>
      <c r="AE35">
        <v>1</v>
      </c>
      <c r="AF35" t="s">
        <v>42</v>
      </c>
      <c r="AG35">
        <v>6</v>
      </c>
      <c r="AH35">
        <v>1</v>
      </c>
      <c r="AI35">
        <v>1</v>
      </c>
      <c r="AJ35">
        <v>1</v>
      </c>
      <c r="AK35">
        <v>0</v>
      </c>
      <c r="AL35">
        <v>4</v>
      </c>
    </row>
    <row r="36" spans="1:38">
      <c r="A36" t="s">
        <v>71</v>
      </c>
      <c r="B36" t="s">
        <v>71</v>
      </c>
      <c r="C36">
        <v>120.9</v>
      </c>
      <c r="D36">
        <v>-1</v>
      </c>
      <c r="E36">
        <v>102</v>
      </c>
      <c r="F36">
        <v>-1</v>
      </c>
      <c r="G36" s="28">
        <f t="shared" si="1"/>
        <v>2.87433333333333</v>
      </c>
      <c r="H36" t="s">
        <v>72</v>
      </c>
      <c r="I36">
        <v>172.46</v>
      </c>
      <c r="J36">
        <v>1</v>
      </c>
      <c r="K36">
        <v>8</v>
      </c>
      <c r="L36">
        <v>3</v>
      </c>
      <c r="M36">
        <v>2</v>
      </c>
      <c r="N36">
        <v>300</v>
      </c>
      <c r="O36">
        <v>3</v>
      </c>
      <c r="P36">
        <v>50</v>
      </c>
      <c r="Q36">
        <v>3</v>
      </c>
      <c r="R36">
        <v>500</v>
      </c>
      <c r="S36" t="s">
        <v>39</v>
      </c>
      <c r="T36">
        <v>6.07385</v>
      </c>
      <c r="U36">
        <v>-1</v>
      </c>
      <c r="V36">
        <v>1</v>
      </c>
      <c r="W36">
        <v>-1</v>
      </c>
      <c r="X36">
        <v>1</v>
      </c>
      <c r="Y36">
        <v>0.5</v>
      </c>
      <c r="Z36">
        <v>0.999</v>
      </c>
      <c r="AA36" t="s">
        <v>40</v>
      </c>
      <c r="AB36" t="s">
        <v>41</v>
      </c>
      <c r="AC36">
        <v>4000</v>
      </c>
      <c r="AD36">
        <v>2</v>
      </c>
      <c r="AE36">
        <v>0.069764</v>
      </c>
      <c r="AF36" t="s">
        <v>42</v>
      </c>
      <c r="AG36">
        <v>6</v>
      </c>
      <c r="AH36">
        <v>1</v>
      </c>
      <c r="AI36">
        <v>1</v>
      </c>
      <c r="AJ36">
        <v>1</v>
      </c>
      <c r="AK36">
        <v>0</v>
      </c>
      <c r="AL36">
        <v>4</v>
      </c>
    </row>
    <row r="37" s="26" customFormat="1" spans="1:38">
      <c r="A37" s="26" t="s">
        <v>73</v>
      </c>
      <c r="B37" s="26" t="s">
        <v>73</v>
      </c>
      <c r="C37" s="26">
        <v>113.03</v>
      </c>
      <c r="D37" s="26">
        <v>-1</v>
      </c>
      <c r="E37" s="26">
        <v>42</v>
      </c>
      <c r="F37" s="26">
        <v>-1</v>
      </c>
      <c r="G37" s="30">
        <v>1.8</v>
      </c>
      <c r="H37" s="26" t="s">
        <v>74</v>
      </c>
      <c r="I37" s="26">
        <v>108</v>
      </c>
      <c r="J37" s="26">
        <v>1</v>
      </c>
      <c r="K37" s="26">
        <v>8</v>
      </c>
      <c r="L37" s="26">
        <v>3</v>
      </c>
      <c r="M37" s="26">
        <v>2</v>
      </c>
      <c r="N37" s="26">
        <v>300</v>
      </c>
      <c r="O37" s="26">
        <v>3</v>
      </c>
      <c r="P37" s="26">
        <v>50</v>
      </c>
      <c r="Q37" s="26">
        <v>3</v>
      </c>
      <c r="R37" s="26">
        <v>500</v>
      </c>
      <c r="S37" s="26" t="s">
        <v>39</v>
      </c>
      <c r="T37" s="26">
        <v>1.3307</v>
      </c>
      <c r="U37" s="26">
        <v>-1</v>
      </c>
      <c r="V37" s="26">
        <v>1</v>
      </c>
      <c r="W37" s="26">
        <v>-1</v>
      </c>
      <c r="X37" s="26">
        <v>1</v>
      </c>
      <c r="Y37" s="26">
        <v>0.5</v>
      </c>
      <c r="Z37" s="26">
        <v>0.999</v>
      </c>
      <c r="AA37" s="26" t="s">
        <v>40</v>
      </c>
      <c r="AB37" s="26" t="s">
        <v>41</v>
      </c>
      <c r="AC37" s="26">
        <v>2000</v>
      </c>
      <c r="AD37" s="26">
        <v>1</v>
      </c>
      <c r="AE37" s="26">
        <v>1</v>
      </c>
      <c r="AF37" s="26" t="s">
        <v>42</v>
      </c>
      <c r="AG37" s="26">
        <v>6</v>
      </c>
      <c r="AH37" s="26">
        <v>1</v>
      </c>
      <c r="AI37" s="26">
        <v>1</v>
      </c>
      <c r="AJ37" s="26">
        <v>1</v>
      </c>
      <c r="AK37" s="26">
        <v>0</v>
      </c>
      <c r="AL37" s="26">
        <v>2</v>
      </c>
    </row>
    <row r="38" spans="1:38">
      <c r="A38" t="s">
        <v>75</v>
      </c>
      <c r="B38" t="s">
        <v>76</v>
      </c>
      <c r="C38">
        <v>104</v>
      </c>
      <c r="D38">
        <v>1</v>
      </c>
      <c r="E38">
        <v>60</v>
      </c>
      <c r="F38">
        <v>1</v>
      </c>
      <c r="G38" s="28">
        <f t="shared" si="1"/>
        <v>1.18618666666667</v>
      </c>
      <c r="H38" t="s">
        <v>50</v>
      </c>
      <c r="I38">
        <v>71.1712</v>
      </c>
      <c r="J38">
        <v>1</v>
      </c>
      <c r="K38">
        <v>8</v>
      </c>
      <c r="L38">
        <v>3</v>
      </c>
      <c r="M38">
        <v>2</v>
      </c>
      <c r="N38">
        <v>300</v>
      </c>
      <c r="O38">
        <v>3</v>
      </c>
      <c r="P38">
        <v>50</v>
      </c>
      <c r="Q38">
        <v>3</v>
      </c>
      <c r="R38">
        <v>500</v>
      </c>
      <c r="S38" t="s">
        <v>39</v>
      </c>
      <c r="T38">
        <v>1.17454</v>
      </c>
      <c r="U38">
        <v>-1</v>
      </c>
      <c r="V38">
        <v>1</v>
      </c>
      <c r="W38">
        <v>-1</v>
      </c>
      <c r="X38">
        <v>1</v>
      </c>
      <c r="Y38">
        <v>0.5</v>
      </c>
      <c r="Z38">
        <v>0.999</v>
      </c>
      <c r="AA38" t="s">
        <v>40</v>
      </c>
      <c r="AB38" t="s">
        <v>77</v>
      </c>
      <c r="AC38">
        <v>20000</v>
      </c>
      <c r="AD38">
        <v>1</v>
      </c>
      <c r="AE38">
        <v>1</v>
      </c>
      <c r="AF38" t="s">
        <v>42</v>
      </c>
      <c r="AG38">
        <v>6</v>
      </c>
      <c r="AH38">
        <v>1</v>
      </c>
      <c r="AI38">
        <v>1</v>
      </c>
      <c r="AJ38">
        <v>0</v>
      </c>
      <c r="AK38">
        <v>0</v>
      </c>
      <c r="AL38">
        <v>20</v>
      </c>
    </row>
    <row r="39" spans="1:38">
      <c r="A39" t="s">
        <v>75</v>
      </c>
      <c r="B39" t="s">
        <v>76</v>
      </c>
      <c r="C39">
        <v>104</v>
      </c>
      <c r="D39">
        <v>1</v>
      </c>
      <c r="E39">
        <v>58</v>
      </c>
      <c r="F39">
        <v>1</v>
      </c>
      <c r="G39" s="28">
        <f t="shared" si="1"/>
        <v>1.18591833333333</v>
      </c>
      <c r="H39" t="s">
        <v>50</v>
      </c>
      <c r="I39">
        <v>71.1551</v>
      </c>
      <c r="J39">
        <v>1</v>
      </c>
      <c r="K39">
        <v>8</v>
      </c>
      <c r="L39">
        <v>3</v>
      </c>
      <c r="M39">
        <v>2</v>
      </c>
      <c r="N39">
        <v>300</v>
      </c>
      <c r="O39">
        <v>3</v>
      </c>
      <c r="P39">
        <v>50</v>
      </c>
      <c r="Q39">
        <v>3</v>
      </c>
      <c r="R39">
        <v>500</v>
      </c>
      <c r="S39" t="s">
        <v>39</v>
      </c>
      <c r="T39">
        <v>1.18109</v>
      </c>
      <c r="U39">
        <v>-1</v>
      </c>
      <c r="V39">
        <v>1</v>
      </c>
      <c r="W39">
        <v>-1</v>
      </c>
      <c r="X39">
        <v>1</v>
      </c>
      <c r="Y39">
        <v>0.5</v>
      </c>
      <c r="Z39">
        <v>0.999</v>
      </c>
      <c r="AA39" t="s">
        <v>40</v>
      </c>
      <c r="AB39" t="s">
        <v>77</v>
      </c>
      <c r="AC39">
        <v>20000</v>
      </c>
      <c r="AD39">
        <v>2</v>
      </c>
      <c r="AE39">
        <v>0.495149</v>
      </c>
      <c r="AF39" t="s">
        <v>42</v>
      </c>
      <c r="AG39">
        <v>6</v>
      </c>
      <c r="AH39">
        <v>1</v>
      </c>
      <c r="AI39">
        <v>1</v>
      </c>
      <c r="AJ39">
        <v>0</v>
      </c>
      <c r="AK39">
        <v>0</v>
      </c>
      <c r="AL39">
        <v>20</v>
      </c>
    </row>
    <row r="40" spans="1:38">
      <c r="A40" t="s">
        <v>78</v>
      </c>
      <c r="B40" t="s">
        <v>79</v>
      </c>
      <c r="C40">
        <v>120</v>
      </c>
      <c r="D40">
        <v>1</v>
      </c>
      <c r="E40">
        <v>74</v>
      </c>
      <c r="F40">
        <v>1</v>
      </c>
      <c r="G40" s="28">
        <f t="shared" si="1"/>
        <v>1.28388333333333</v>
      </c>
      <c r="H40" t="s">
        <v>50</v>
      </c>
      <c r="I40">
        <v>77.033</v>
      </c>
      <c r="J40">
        <v>1</v>
      </c>
      <c r="K40">
        <v>8</v>
      </c>
      <c r="L40">
        <v>3</v>
      </c>
      <c r="M40">
        <v>2</v>
      </c>
      <c r="N40">
        <v>300</v>
      </c>
      <c r="O40">
        <v>3</v>
      </c>
      <c r="P40">
        <v>50</v>
      </c>
      <c r="Q40">
        <v>3</v>
      </c>
      <c r="R40">
        <v>500</v>
      </c>
      <c r="S40" t="s">
        <v>39</v>
      </c>
      <c r="T40">
        <v>1.26269</v>
      </c>
      <c r="U40">
        <v>-1</v>
      </c>
      <c r="V40">
        <v>1</v>
      </c>
      <c r="W40">
        <v>-1</v>
      </c>
      <c r="X40">
        <v>1</v>
      </c>
      <c r="Y40">
        <v>0.5</v>
      </c>
      <c r="Z40">
        <v>0.999</v>
      </c>
      <c r="AA40" t="s">
        <v>40</v>
      </c>
      <c r="AB40" t="s">
        <v>77</v>
      </c>
      <c r="AC40">
        <v>50000</v>
      </c>
      <c r="AD40">
        <v>1</v>
      </c>
      <c r="AE40">
        <v>1</v>
      </c>
      <c r="AF40" t="s">
        <v>42</v>
      </c>
      <c r="AG40">
        <v>6</v>
      </c>
      <c r="AH40">
        <v>1</v>
      </c>
      <c r="AI40">
        <v>1</v>
      </c>
      <c r="AJ40">
        <v>0</v>
      </c>
      <c r="AK40">
        <v>0</v>
      </c>
      <c r="AL40">
        <v>50</v>
      </c>
    </row>
    <row r="41" spans="1:38">
      <c r="A41" t="s">
        <v>78</v>
      </c>
      <c r="B41" t="s">
        <v>79</v>
      </c>
      <c r="C41">
        <v>120</v>
      </c>
      <c r="D41">
        <v>1</v>
      </c>
      <c r="E41">
        <v>56</v>
      </c>
      <c r="F41">
        <v>1</v>
      </c>
      <c r="G41" s="28">
        <f t="shared" si="1"/>
        <v>1.28362</v>
      </c>
      <c r="H41" t="s">
        <v>50</v>
      </c>
      <c r="I41">
        <v>77.0172</v>
      </c>
      <c r="J41">
        <v>1</v>
      </c>
      <c r="K41">
        <v>8</v>
      </c>
      <c r="L41">
        <v>3</v>
      </c>
      <c r="M41">
        <v>2</v>
      </c>
      <c r="N41">
        <v>300</v>
      </c>
      <c r="O41">
        <v>3</v>
      </c>
      <c r="P41">
        <v>50</v>
      </c>
      <c r="Q41">
        <v>3</v>
      </c>
      <c r="R41">
        <v>500</v>
      </c>
      <c r="S41" t="s">
        <v>39</v>
      </c>
      <c r="T41">
        <v>1.25768</v>
      </c>
      <c r="U41">
        <v>-1</v>
      </c>
      <c r="V41">
        <v>1</v>
      </c>
      <c r="W41">
        <v>-1</v>
      </c>
      <c r="X41">
        <v>1</v>
      </c>
      <c r="Y41">
        <v>0.5</v>
      </c>
      <c r="Z41">
        <v>0.999</v>
      </c>
      <c r="AA41" t="s">
        <v>40</v>
      </c>
      <c r="AB41" t="s">
        <v>77</v>
      </c>
      <c r="AC41">
        <v>50000</v>
      </c>
      <c r="AD41">
        <v>2</v>
      </c>
      <c r="AE41">
        <v>0.616158</v>
      </c>
      <c r="AF41" t="s">
        <v>42</v>
      </c>
      <c r="AG41">
        <v>6</v>
      </c>
      <c r="AH41">
        <v>1</v>
      </c>
      <c r="AI41">
        <v>1</v>
      </c>
      <c r="AJ41">
        <v>0</v>
      </c>
      <c r="AK41">
        <v>0</v>
      </c>
      <c r="AL41">
        <v>50</v>
      </c>
    </row>
    <row r="42" spans="1:38">
      <c r="A42" t="s">
        <v>80</v>
      </c>
      <c r="B42" t="s">
        <v>81</v>
      </c>
      <c r="C42">
        <v>122</v>
      </c>
      <c r="D42">
        <v>1</v>
      </c>
      <c r="E42">
        <v>59</v>
      </c>
      <c r="F42">
        <v>1</v>
      </c>
      <c r="G42" s="28">
        <f t="shared" si="1"/>
        <v>1.322875</v>
      </c>
      <c r="H42" t="s">
        <v>50</v>
      </c>
      <c r="I42">
        <v>79.3725</v>
      </c>
      <c r="J42">
        <v>1</v>
      </c>
      <c r="K42">
        <v>8</v>
      </c>
      <c r="L42">
        <v>3</v>
      </c>
      <c r="M42">
        <v>2</v>
      </c>
      <c r="N42">
        <v>300</v>
      </c>
      <c r="O42">
        <v>3</v>
      </c>
      <c r="P42">
        <v>50</v>
      </c>
      <c r="Q42">
        <v>3</v>
      </c>
      <c r="R42">
        <v>500</v>
      </c>
      <c r="S42" t="s">
        <v>39</v>
      </c>
      <c r="T42">
        <v>1.24981</v>
      </c>
      <c r="U42">
        <v>-1</v>
      </c>
      <c r="V42">
        <v>1</v>
      </c>
      <c r="W42">
        <v>-1</v>
      </c>
      <c r="X42">
        <v>1</v>
      </c>
      <c r="Y42">
        <v>0.5</v>
      </c>
      <c r="Z42">
        <v>0.999</v>
      </c>
      <c r="AA42" t="s">
        <v>40</v>
      </c>
      <c r="AB42" t="s">
        <v>77</v>
      </c>
      <c r="AC42">
        <v>200000</v>
      </c>
      <c r="AD42">
        <v>1</v>
      </c>
      <c r="AE42">
        <v>1</v>
      </c>
      <c r="AF42" t="s">
        <v>42</v>
      </c>
      <c r="AG42">
        <v>6</v>
      </c>
      <c r="AH42">
        <v>1</v>
      </c>
      <c r="AI42">
        <v>1</v>
      </c>
      <c r="AJ42">
        <v>0</v>
      </c>
      <c r="AK42">
        <v>0</v>
      </c>
      <c r="AL42">
        <v>200</v>
      </c>
    </row>
    <row r="43" spans="1:38">
      <c r="A43" t="s">
        <v>80</v>
      </c>
      <c r="B43" t="s">
        <v>81</v>
      </c>
      <c r="C43">
        <v>122</v>
      </c>
      <c r="D43">
        <v>1</v>
      </c>
      <c r="E43">
        <v>76</v>
      </c>
      <c r="F43">
        <v>1</v>
      </c>
      <c r="G43" s="28">
        <f t="shared" si="1"/>
        <v>1.32297333333333</v>
      </c>
      <c r="H43" t="s">
        <v>50</v>
      </c>
      <c r="I43">
        <v>79.3784</v>
      </c>
      <c r="J43">
        <v>1</v>
      </c>
      <c r="K43">
        <v>8</v>
      </c>
      <c r="L43">
        <v>3</v>
      </c>
      <c r="M43">
        <v>2</v>
      </c>
      <c r="N43">
        <v>300</v>
      </c>
      <c r="O43">
        <v>3</v>
      </c>
      <c r="P43">
        <v>50</v>
      </c>
      <c r="Q43">
        <v>3</v>
      </c>
      <c r="R43">
        <v>500</v>
      </c>
      <c r="S43" t="s">
        <v>39</v>
      </c>
      <c r="T43">
        <v>1.24847</v>
      </c>
      <c r="U43">
        <v>-1</v>
      </c>
      <c r="V43">
        <v>1</v>
      </c>
      <c r="W43">
        <v>-1</v>
      </c>
      <c r="X43">
        <v>1</v>
      </c>
      <c r="Y43">
        <v>0.5</v>
      </c>
      <c r="Z43">
        <v>0.999</v>
      </c>
      <c r="AA43" t="s">
        <v>40</v>
      </c>
      <c r="AB43" t="s">
        <v>77</v>
      </c>
      <c r="AC43">
        <v>200000</v>
      </c>
      <c r="AD43">
        <v>2</v>
      </c>
      <c r="AE43">
        <v>0.841554</v>
      </c>
      <c r="AF43" t="s">
        <v>42</v>
      </c>
      <c r="AG43">
        <v>6</v>
      </c>
      <c r="AH43">
        <v>1</v>
      </c>
      <c r="AI43">
        <v>1</v>
      </c>
      <c r="AJ43">
        <v>0</v>
      </c>
      <c r="AK43">
        <v>0</v>
      </c>
      <c r="AL43">
        <v>200</v>
      </c>
    </row>
    <row r="44" spans="1:38">
      <c r="A44" t="s">
        <v>82</v>
      </c>
      <c r="B44" t="s">
        <v>83</v>
      </c>
      <c r="C44">
        <v>123</v>
      </c>
      <c r="D44">
        <v>1</v>
      </c>
      <c r="E44">
        <v>80</v>
      </c>
      <c r="F44">
        <v>1</v>
      </c>
      <c r="G44" s="28">
        <f t="shared" si="1"/>
        <v>3.2086</v>
      </c>
      <c r="H44" t="s">
        <v>48</v>
      </c>
      <c r="I44">
        <v>192.516</v>
      </c>
      <c r="J44">
        <v>1</v>
      </c>
      <c r="K44">
        <v>8</v>
      </c>
      <c r="L44">
        <v>3</v>
      </c>
      <c r="M44">
        <v>2</v>
      </c>
      <c r="N44">
        <v>300</v>
      </c>
      <c r="O44">
        <v>3</v>
      </c>
      <c r="P44">
        <v>50</v>
      </c>
      <c r="Q44">
        <v>3</v>
      </c>
      <c r="R44">
        <v>500</v>
      </c>
      <c r="S44" t="s">
        <v>39</v>
      </c>
      <c r="T44">
        <v>3.00297</v>
      </c>
      <c r="U44">
        <v>-1</v>
      </c>
      <c r="V44">
        <v>1</v>
      </c>
      <c r="W44">
        <v>-1</v>
      </c>
      <c r="X44">
        <v>1</v>
      </c>
      <c r="Y44">
        <v>0.5</v>
      </c>
      <c r="Z44">
        <v>0.999</v>
      </c>
      <c r="AA44" t="s">
        <v>40</v>
      </c>
      <c r="AB44" t="s">
        <v>77</v>
      </c>
      <c r="AC44">
        <v>15000</v>
      </c>
      <c r="AD44">
        <v>1</v>
      </c>
      <c r="AE44">
        <v>1</v>
      </c>
      <c r="AF44" t="s">
        <v>42</v>
      </c>
      <c r="AG44">
        <v>6</v>
      </c>
      <c r="AH44">
        <v>1</v>
      </c>
      <c r="AI44">
        <v>1</v>
      </c>
      <c r="AJ44">
        <v>0</v>
      </c>
      <c r="AK44">
        <v>0</v>
      </c>
      <c r="AL44">
        <v>15</v>
      </c>
    </row>
    <row r="45" spans="1:38">
      <c r="A45" t="s">
        <v>82</v>
      </c>
      <c r="B45" t="s">
        <v>83</v>
      </c>
      <c r="C45">
        <v>123</v>
      </c>
      <c r="D45">
        <v>1</v>
      </c>
      <c r="E45">
        <v>78</v>
      </c>
      <c r="F45">
        <v>1</v>
      </c>
      <c r="G45" s="28">
        <f t="shared" si="1"/>
        <v>3.20883333333333</v>
      </c>
      <c r="H45" t="s">
        <v>48</v>
      </c>
      <c r="I45">
        <v>192.53</v>
      </c>
      <c r="J45">
        <v>1</v>
      </c>
      <c r="K45">
        <v>8</v>
      </c>
      <c r="L45">
        <v>3</v>
      </c>
      <c r="M45">
        <v>2</v>
      </c>
      <c r="N45">
        <v>300</v>
      </c>
      <c r="O45">
        <v>3</v>
      </c>
      <c r="P45">
        <v>50</v>
      </c>
      <c r="Q45">
        <v>3</v>
      </c>
      <c r="R45">
        <v>500</v>
      </c>
      <c r="S45" t="s">
        <v>39</v>
      </c>
      <c r="T45">
        <v>2.89384</v>
      </c>
      <c r="U45">
        <v>-1</v>
      </c>
      <c r="V45">
        <v>1</v>
      </c>
      <c r="W45">
        <v>-1</v>
      </c>
      <c r="X45">
        <v>1</v>
      </c>
      <c r="Y45">
        <v>0.5</v>
      </c>
      <c r="Z45">
        <v>0.999</v>
      </c>
      <c r="AA45" t="s">
        <v>40</v>
      </c>
      <c r="AB45" t="s">
        <v>77</v>
      </c>
      <c r="AC45">
        <v>15000</v>
      </c>
      <c r="AD45">
        <v>2</v>
      </c>
      <c r="AE45">
        <v>0.309068</v>
      </c>
      <c r="AF45" t="s">
        <v>42</v>
      </c>
      <c r="AG45">
        <v>6</v>
      </c>
      <c r="AH45">
        <v>1</v>
      </c>
      <c r="AI45">
        <v>1</v>
      </c>
      <c r="AJ45">
        <v>0</v>
      </c>
      <c r="AK45">
        <v>0</v>
      </c>
      <c r="AL45">
        <v>15</v>
      </c>
    </row>
    <row r="46" s="27" customFormat="1" spans="1:38">
      <c r="A46" s="27" t="s">
        <v>84</v>
      </c>
      <c r="B46" s="27" t="s">
        <v>85</v>
      </c>
      <c r="C46" s="27">
        <v>132.08</v>
      </c>
      <c r="D46" s="27">
        <v>1</v>
      </c>
      <c r="E46" s="27">
        <v>86</v>
      </c>
      <c r="F46" s="27">
        <v>1</v>
      </c>
      <c r="G46" s="28">
        <f t="shared" si="1"/>
        <v>3.03665</v>
      </c>
      <c r="H46" t="s">
        <v>70</v>
      </c>
      <c r="I46" s="27">
        <v>182.199</v>
      </c>
      <c r="J46" s="27">
        <v>1</v>
      </c>
      <c r="K46" s="27">
        <v>8</v>
      </c>
      <c r="L46" s="27">
        <v>3</v>
      </c>
      <c r="M46" s="27">
        <v>2</v>
      </c>
      <c r="N46" s="27">
        <v>300</v>
      </c>
      <c r="O46" s="27">
        <v>3</v>
      </c>
      <c r="P46" s="27">
        <v>50</v>
      </c>
      <c r="Q46" s="27">
        <v>3</v>
      </c>
      <c r="R46" s="27">
        <v>500</v>
      </c>
      <c r="S46" s="27" t="s">
        <v>39</v>
      </c>
      <c r="T46" s="27">
        <v>4.86371</v>
      </c>
      <c r="U46" s="27">
        <v>-1</v>
      </c>
      <c r="V46" s="27">
        <v>1</v>
      </c>
      <c r="W46" s="27">
        <v>-1</v>
      </c>
      <c r="X46" s="27">
        <v>1</v>
      </c>
      <c r="Y46" s="27">
        <v>0.5</v>
      </c>
      <c r="Z46" s="27">
        <v>0.999</v>
      </c>
      <c r="AA46" s="27" t="s">
        <v>40</v>
      </c>
      <c r="AB46" s="27" t="s">
        <v>41</v>
      </c>
      <c r="AC46" s="27">
        <v>10000</v>
      </c>
      <c r="AD46" s="27">
        <v>1</v>
      </c>
      <c r="AE46" s="27">
        <v>1</v>
      </c>
      <c r="AF46" s="27" t="s">
        <v>42</v>
      </c>
      <c r="AG46" s="27">
        <v>6</v>
      </c>
      <c r="AH46" s="27">
        <v>1</v>
      </c>
      <c r="AI46" s="27">
        <v>1</v>
      </c>
      <c r="AJ46" s="27">
        <v>1</v>
      </c>
      <c r="AK46" s="27">
        <v>0</v>
      </c>
      <c r="AL46" s="27">
        <v>10</v>
      </c>
    </row>
    <row r="47" s="27" customFormat="1" spans="1:38">
      <c r="A47" s="27" t="s">
        <v>84</v>
      </c>
      <c r="B47" s="27" t="s">
        <v>85</v>
      </c>
      <c r="C47" s="27">
        <v>132.08</v>
      </c>
      <c r="D47" s="27">
        <v>1</v>
      </c>
      <c r="E47" s="27">
        <v>69</v>
      </c>
      <c r="F47" s="27">
        <v>1</v>
      </c>
      <c r="G47" s="28">
        <f t="shared" si="1"/>
        <v>2.93285</v>
      </c>
      <c r="H47" t="s">
        <v>70</v>
      </c>
      <c r="I47" s="27">
        <v>175.971</v>
      </c>
      <c r="J47" s="27">
        <v>1</v>
      </c>
      <c r="K47" s="27">
        <v>8</v>
      </c>
      <c r="L47" s="27">
        <v>3</v>
      </c>
      <c r="M47" s="27">
        <v>2</v>
      </c>
      <c r="N47" s="27">
        <v>300</v>
      </c>
      <c r="O47" s="27">
        <v>3</v>
      </c>
      <c r="P47" s="27">
        <v>50</v>
      </c>
      <c r="Q47" s="27">
        <v>3</v>
      </c>
      <c r="R47" s="27">
        <v>500</v>
      </c>
      <c r="S47" s="27" t="s">
        <v>39</v>
      </c>
      <c r="T47" s="27">
        <v>4.56181</v>
      </c>
      <c r="U47" s="27">
        <v>-1</v>
      </c>
      <c r="V47" s="27">
        <v>1</v>
      </c>
      <c r="W47" s="27">
        <v>-1</v>
      </c>
      <c r="X47" s="27">
        <v>1</v>
      </c>
      <c r="Y47" s="27">
        <v>0.5</v>
      </c>
      <c r="Z47" s="27">
        <v>0.999</v>
      </c>
      <c r="AA47" s="27" t="s">
        <v>40</v>
      </c>
      <c r="AB47" s="27" t="s">
        <v>41</v>
      </c>
      <c r="AC47" s="27">
        <v>10000</v>
      </c>
      <c r="AD47" s="27">
        <v>2</v>
      </c>
      <c r="AE47" s="27">
        <v>0.189206</v>
      </c>
      <c r="AF47" s="27" t="s">
        <v>42</v>
      </c>
      <c r="AG47" s="27">
        <v>6</v>
      </c>
      <c r="AH47" s="27">
        <v>1</v>
      </c>
      <c r="AI47" s="27">
        <v>1</v>
      </c>
      <c r="AJ47" s="27">
        <v>1</v>
      </c>
      <c r="AK47" s="27">
        <v>0</v>
      </c>
      <c r="AL47" s="27">
        <v>10</v>
      </c>
    </row>
    <row r="48" s="27" customFormat="1" spans="1:38">
      <c r="A48" s="27" t="s">
        <v>86</v>
      </c>
      <c r="B48" s="27" t="s">
        <v>87</v>
      </c>
      <c r="C48" s="27">
        <v>132.102</v>
      </c>
      <c r="D48" s="27">
        <v>1</v>
      </c>
      <c r="E48" s="27">
        <v>69.0698</v>
      </c>
      <c r="F48" s="27">
        <v>1</v>
      </c>
      <c r="G48" s="28">
        <f t="shared" si="1"/>
        <v>2.5707</v>
      </c>
      <c r="H48" t="s">
        <v>70</v>
      </c>
      <c r="I48" s="27">
        <v>154.242</v>
      </c>
      <c r="J48" s="27">
        <v>1</v>
      </c>
      <c r="K48" s="27">
        <v>8</v>
      </c>
      <c r="L48" s="27">
        <v>3</v>
      </c>
      <c r="M48" s="27">
        <v>2</v>
      </c>
      <c r="N48" s="27">
        <v>300</v>
      </c>
      <c r="O48" s="27">
        <v>3</v>
      </c>
      <c r="P48" s="27">
        <v>50</v>
      </c>
      <c r="Q48" s="27">
        <v>3</v>
      </c>
      <c r="R48" s="27">
        <v>500</v>
      </c>
      <c r="S48" s="27" t="s">
        <v>39</v>
      </c>
      <c r="T48" s="27">
        <v>2.72695</v>
      </c>
      <c r="U48" s="27">
        <v>-1</v>
      </c>
      <c r="V48" s="27">
        <v>1</v>
      </c>
      <c r="W48" s="27">
        <v>-1</v>
      </c>
      <c r="X48" s="27">
        <v>1</v>
      </c>
      <c r="Y48" s="27">
        <v>0.5</v>
      </c>
      <c r="Z48" s="27">
        <v>0.999</v>
      </c>
      <c r="AA48" s="27" t="s">
        <v>40</v>
      </c>
      <c r="AB48" s="27" t="s">
        <v>41</v>
      </c>
      <c r="AC48" s="27">
        <v>400000</v>
      </c>
      <c r="AD48" s="27">
        <v>1</v>
      </c>
      <c r="AE48" s="27">
        <v>1</v>
      </c>
      <c r="AF48" s="27" t="s">
        <v>42</v>
      </c>
      <c r="AG48" s="27">
        <v>6</v>
      </c>
      <c r="AH48" s="27">
        <v>1</v>
      </c>
      <c r="AI48" s="27">
        <v>1</v>
      </c>
      <c r="AJ48" s="27">
        <v>1</v>
      </c>
      <c r="AK48" s="27">
        <v>0</v>
      </c>
      <c r="AL48" s="27">
        <v>400</v>
      </c>
    </row>
    <row r="49" s="27" customFormat="1" spans="1:38">
      <c r="A49" s="27" t="s">
        <v>86</v>
      </c>
      <c r="B49" s="27" t="s">
        <v>87</v>
      </c>
      <c r="C49" s="27">
        <v>132.102</v>
      </c>
      <c r="D49" s="27">
        <v>1</v>
      </c>
      <c r="E49" s="27">
        <v>57.0574</v>
      </c>
      <c r="F49" s="27">
        <v>1</v>
      </c>
      <c r="G49" s="28">
        <f t="shared" si="1"/>
        <v>2.57531666666667</v>
      </c>
      <c r="H49" t="s">
        <v>70</v>
      </c>
      <c r="I49" s="27">
        <v>154.519</v>
      </c>
      <c r="J49" s="27">
        <v>1</v>
      </c>
      <c r="K49" s="27">
        <v>8</v>
      </c>
      <c r="L49" s="27">
        <v>3</v>
      </c>
      <c r="M49" s="27">
        <v>2</v>
      </c>
      <c r="N49" s="27">
        <v>300</v>
      </c>
      <c r="O49" s="27">
        <v>3</v>
      </c>
      <c r="P49" s="27">
        <v>50</v>
      </c>
      <c r="Q49" s="27">
        <v>3</v>
      </c>
      <c r="R49" s="27">
        <v>500</v>
      </c>
      <c r="S49" s="27" t="s">
        <v>39</v>
      </c>
      <c r="T49" s="27">
        <v>3.03834</v>
      </c>
      <c r="U49" s="27">
        <v>-1</v>
      </c>
      <c r="V49" s="27">
        <v>1</v>
      </c>
      <c r="W49" s="27">
        <v>-1</v>
      </c>
      <c r="X49" s="27">
        <v>1</v>
      </c>
      <c r="Y49" s="27">
        <v>0.5</v>
      </c>
      <c r="Z49" s="27">
        <v>0.999</v>
      </c>
      <c r="AA49" s="27" t="s">
        <v>40</v>
      </c>
      <c r="AB49" s="27" t="s">
        <v>41</v>
      </c>
      <c r="AC49" s="27">
        <v>400000</v>
      </c>
      <c r="AD49" s="27">
        <v>2</v>
      </c>
      <c r="AE49" s="27">
        <v>0.187741</v>
      </c>
      <c r="AF49" s="27" t="s">
        <v>42</v>
      </c>
      <c r="AG49" s="27">
        <v>6</v>
      </c>
      <c r="AH49" s="27">
        <v>1</v>
      </c>
      <c r="AI49" s="27">
        <v>1</v>
      </c>
      <c r="AJ49" s="27">
        <v>1</v>
      </c>
      <c r="AK49" s="27">
        <v>0</v>
      </c>
      <c r="AL49" s="27">
        <v>400</v>
      </c>
    </row>
    <row r="50" s="27" customFormat="1" spans="1:38">
      <c r="A50" s="27" t="s">
        <v>86</v>
      </c>
      <c r="B50" s="27" t="s">
        <v>87</v>
      </c>
      <c r="C50" s="27">
        <v>132.102</v>
      </c>
      <c r="D50" s="27">
        <v>1</v>
      </c>
      <c r="E50" s="27">
        <v>86.0963</v>
      </c>
      <c r="F50" s="27">
        <v>1</v>
      </c>
      <c r="G50" s="28">
        <f t="shared" si="1"/>
        <v>2.5789</v>
      </c>
      <c r="H50" t="s">
        <v>70</v>
      </c>
      <c r="I50" s="27">
        <v>154.734</v>
      </c>
      <c r="J50" s="27">
        <v>1</v>
      </c>
      <c r="K50" s="27">
        <v>8</v>
      </c>
      <c r="L50" s="27">
        <v>3</v>
      </c>
      <c r="M50" s="27">
        <v>2</v>
      </c>
      <c r="N50" s="27">
        <v>300</v>
      </c>
      <c r="O50" s="27">
        <v>3</v>
      </c>
      <c r="P50" s="27">
        <v>50</v>
      </c>
      <c r="Q50" s="27">
        <v>3</v>
      </c>
      <c r="R50" s="27">
        <v>500</v>
      </c>
      <c r="S50" s="27" t="s">
        <v>39</v>
      </c>
      <c r="T50" s="27">
        <v>3.5</v>
      </c>
      <c r="U50" s="27">
        <v>-1</v>
      </c>
      <c r="V50" s="27">
        <v>1</v>
      </c>
      <c r="W50" s="27">
        <v>-1</v>
      </c>
      <c r="X50" s="27">
        <v>1</v>
      </c>
      <c r="Y50" s="27">
        <v>0.5</v>
      </c>
      <c r="Z50" s="27">
        <v>0.999</v>
      </c>
      <c r="AA50" s="27" t="s">
        <v>40</v>
      </c>
      <c r="AB50" s="27" t="s">
        <v>41</v>
      </c>
      <c r="AC50" s="27">
        <v>400000</v>
      </c>
      <c r="AD50" s="27">
        <v>3</v>
      </c>
      <c r="AE50" s="27">
        <v>0.0344091</v>
      </c>
      <c r="AF50" s="27" t="s">
        <v>42</v>
      </c>
      <c r="AG50" s="27">
        <v>6</v>
      </c>
      <c r="AH50" s="27">
        <v>1</v>
      </c>
      <c r="AI50" s="27">
        <v>1</v>
      </c>
      <c r="AJ50" s="27">
        <v>1</v>
      </c>
      <c r="AK50" s="27">
        <v>0</v>
      </c>
      <c r="AL50" s="27">
        <v>400</v>
      </c>
    </row>
    <row r="51" spans="1:38">
      <c r="A51" t="s">
        <v>88</v>
      </c>
      <c r="B51" t="s">
        <v>89</v>
      </c>
      <c r="C51">
        <v>156</v>
      </c>
      <c r="D51">
        <v>1</v>
      </c>
      <c r="E51">
        <v>110</v>
      </c>
      <c r="F51">
        <v>1</v>
      </c>
      <c r="G51" s="28">
        <f t="shared" si="1"/>
        <v>1.15146666666667</v>
      </c>
      <c r="H51" t="s">
        <v>50</v>
      </c>
      <c r="I51">
        <v>69.088</v>
      </c>
      <c r="J51">
        <v>1</v>
      </c>
      <c r="K51">
        <v>8</v>
      </c>
      <c r="L51">
        <v>3</v>
      </c>
      <c r="M51">
        <v>2</v>
      </c>
      <c r="N51">
        <v>300</v>
      </c>
      <c r="O51">
        <v>3</v>
      </c>
      <c r="P51">
        <v>50</v>
      </c>
      <c r="Q51">
        <v>3</v>
      </c>
      <c r="R51">
        <v>500</v>
      </c>
      <c r="S51" t="s">
        <v>39</v>
      </c>
      <c r="T51">
        <v>1.82816</v>
      </c>
      <c r="U51">
        <v>-1</v>
      </c>
      <c r="V51">
        <v>1</v>
      </c>
      <c r="W51">
        <v>-1</v>
      </c>
      <c r="X51">
        <v>1</v>
      </c>
      <c r="Y51">
        <v>0.5</v>
      </c>
      <c r="Z51">
        <v>0.999</v>
      </c>
      <c r="AA51" t="s">
        <v>40</v>
      </c>
      <c r="AB51" t="s">
        <v>77</v>
      </c>
      <c r="AC51">
        <v>50000</v>
      </c>
      <c r="AD51">
        <v>1</v>
      </c>
      <c r="AE51">
        <v>1</v>
      </c>
      <c r="AF51" t="s">
        <v>42</v>
      </c>
      <c r="AG51">
        <v>6</v>
      </c>
      <c r="AH51">
        <v>1</v>
      </c>
      <c r="AI51">
        <v>1</v>
      </c>
      <c r="AJ51">
        <v>0</v>
      </c>
      <c r="AK51">
        <v>0</v>
      </c>
      <c r="AL51">
        <v>50</v>
      </c>
    </row>
    <row r="52" spans="1:38">
      <c r="A52" t="s">
        <v>88</v>
      </c>
      <c r="B52" t="s">
        <v>89</v>
      </c>
      <c r="C52">
        <v>156</v>
      </c>
      <c r="D52">
        <v>1</v>
      </c>
      <c r="E52">
        <v>93</v>
      </c>
      <c r="F52">
        <v>1</v>
      </c>
      <c r="G52" s="28">
        <f t="shared" si="1"/>
        <v>1.15106666666667</v>
      </c>
      <c r="H52" t="s">
        <v>50</v>
      </c>
      <c r="I52">
        <v>69.064</v>
      </c>
      <c r="J52">
        <v>1</v>
      </c>
      <c r="K52">
        <v>8</v>
      </c>
      <c r="L52">
        <v>3</v>
      </c>
      <c r="M52">
        <v>2</v>
      </c>
      <c r="N52">
        <v>300</v>
      </c>
      <c r="O52">
        <v>3</v>
      </c>
      <c r="P52">
        <v>50</v>
      </c>
      <c r="Q52">
        <v>3</v>
      </c>
      <c r="R52">
        <v>500</v>
      </c>
      <c r="S52" t="s">
        <v>39</v>
      </c>
      <c r="T52">
        <v>1.79127</v>
      </c>
      <c r="U52">
        <v>-1</v>
      </c>
      <c r="V52">
        <v>1</v>
      </c>
      <c r="W52">
        <v>-1</v>
      </c>
      <c r="X52">
        <v>1</v>
      </c>
      <c r="Y52">
        <v>0.5</v>
      </c>
      <c r="Z52">
        <v>0.999</v>
      </c>
      <c r="AA52" t="s">
        <v>40</v>
      </c>
      <c r="AB52" t="s">
        <v>77</v>
      </c>
      <c r="AC52">
        <v>50000</v>
      </c>
      <c r="AD52">
        <v>2</v>
      </c>
      <c r="AE52">
        <v>0.17663</v>
      </c>
      <c r="AF52" t="s">
        <v>42</v>
      </c>
      <c r="AG52">
        <v>6</v>
      </c>
      <c r="AH52">
        <v>1</v>
      </c>
      <c r="AI52">
        <v>1</v>
      </c>
      <c r="AJ52">
        <v>0</v>
      </c>
      <c r="AK52">
        <v>0</v>
      </c>
      <c r="AL52">
        <v>50</v>
      </c>
    </row>
    <row r="53" spans="1:38">
      <c r="A53" t="s">
        <v>90</v>
      </c>
      <c r="B53" t="s">
        <v>91</v>
      </c>
      <c r="C53">
        <v>166.02</v>
      </c>
      <c r="D53">
        <v>1</v>
      </c>
      <c r="E53">
        <v>120</v>
      </c>
      <c r="F53">
        <v>1</v>
      </c>
      <c r="G53" s="28">
        <f t="shared" si="1"/>
        <v>3.9133</v>
      </c>
      <c r="H53" t="s">
        <v>48</v>
      </c>
      <c r="I53">
        <v>234.798</v>
      </c>
      <c r="J53">
        <v>1</v>
      </c>
      <c r="K53">
        <v>8</v>
      </c>
      <c r="L53">
        <v>3</v>
      </c>
      <c r="M53">
        <v>2</v>
      </c>
      <c r="N53">
        <v>300</v>
      </c>
      <c r="O53">
        <v>3</v>
      </c>
      <c r="P53">
        <v>50</v>
      </c>
      <c r="Q53">
        <v>3</v>
      </c>
      <c r="R53">
        <v>500</v>
      </c>
      <c r="S53" t="s">
        <v>39</v>
      </c>
      <c r="T53">
        <v>1.54533</v>
      </c>
      <c r="U53">
        <v>-1</v>
      </c>
      <c r="V53">
        <v>1</v>
      </c>
      <c r="W53">
        <v>-1</v>
      </c>
      <c r="X53">
        <v>1</v>
      </c>
      <c r="Y53">
        <v>0.5</v>
      </c>
      <c r="Z53">
        <v>0.999</v>
      </c>
      <c r="AA53" t="s">
        <v>40</v>
      </c>
      <c r="AB53" t="s">
        <v>77</v>
      </c>
      <c r="AC53">
        <v>5000</v>
      </c>
      <c r="AD53">
        <v>1</v>
      </c>
      <c r="AE53">
        <v>1</v>
      </c>
      <c r="AF53" t="s">
        <v>42</v>
      </c>
      <c r="AG53">
        <v>6</v>
      </c>
      <c r="AH53">
        <v>1</v>
      </c>
      <c r="AI53">
        <v>1</v>
      </c>
      <c r="AJ53">
        <v>0</v>
      </c>
      <c r="AK53">
        <v>0</v>
      </c>
      <c r="AL53">
        <v>5</v>
      </c>
    </row>
    <row r="54" spans="1:38">
      <c r="A54" t="s">
        <v>90</v>
      </c>
      <c r="B54" t="s">
        <v>91</v>
      </c>
      <c r="C54">
        <v>166.02</v>
      </c>
      <c r="D54">
        <v>1</v>
      </c>
      <c r="E54">
        <v>103</v>
      </c>
      <c r="F54">
        <v>1</v>
      </c>
      <c r="G54" s="28">
        <f t="shared" si="1"/>
        <v>3.91313333333333</v>
      </c>
      <c r="H54" t="s">
        <v>48</v>
      </c>
      <c r="I54">
        <v>234.788</v>
      </c>
      <c r="J54">
        <v>1</v>
      </c>
      <c r="K54">
        <v>8</v>
      </c>
      <c r="L54">
        <v>3</v>
      </c>
      <c r="M54">
        <v>2</v>
      </c>
      <c r="N54">
        <v>300</v>
      </c>
      <c r="O54">
        <v>3</v>
      </c>
      <c r="P54">
        <v>50</v>
      </c>
      <c r="Q54">
        <v>3</v>
      </c>
      <c r="R54">
        <v>500</v>
      </c>
      <c r="S54" t="s">
        <v>39</v>
      </c>
      <c r="T54">
        <v>1.55262</v>
      </c>
      <c r="U54">
        <v>-1</v>
      </c>
      <c r="V54">
        <v>1</v>
      </c>
      <c r="W54">
        <v>-1</v>
      </c>
      <c r="X54">
        <v>1</v>
      </c>
      <c r="Y54">
        <v>0.5</v>
      </c>
      <c r="Z54">
        <v>0.999</v>
      </c>
      <c r="AA54" t="s">
        <v>40</v>
      </c>
      <c r="AB54" t="s">
        <v>77</v>
      </c>
      <c r="AC54">
        <v>5000</v>
      </c>
      <c r="AD54">
        <v>2</v>
      </c>
      <c r="AE54">
        <v>0.512055</v>
      </c>
      <c r="AF54" t="s">
        <v>42</v>
      </c>
      <c r="AG54">
        <v>6</v>
      </c>
      <c r="AH54">
        <v>1</v>
      </c>
      <c r="AI54">
        <v>1</v>
      </c>
      <c r="AJ54">
        <v>0</v>
      </c>
      <c r="AK54">
        <v>0</v>
      </c>
      <c r="AL54">
        <v>5</v>
      </c>
    </row>
    <row r="55" s="27" customFormat="1" spans="1:38">
      <c r="A55" s="27" t="s">
        <v>92</v>
      </c>
      <c r="B55" s="27" t="s">
        <v>93</v>
      </c>
      <c r="C55" s="27">
        <v>268</v>
      </c>
      <c r="D55" s="27">
        <v>1</v>
      </c>
      <c r="E55" s="27">
        <v>136</v>
      </c>
      <c r="F55" s="27">
        <v>1</v>
      </c>
      <c r="G55" s="28">
        <f t="shared" si="1"/>
        <v>3.66795</v>
      </c>
      <c r="H55" s="27" t="s">
        <v>48</v>
      </c>
      <c r="I55" s="27">
        <v>220.077</v>
      </c>
      <c r="J55" s="27">
        <v>1</v>
      </c>
      <c r="K55" s="27">
        <v>8</v>
      </c>
      <c r="L55" s="27">
        <v>3</v>
      </c>
      <c r="M55" s="27">
        <v>2</v>
      </c>
      <c r="N55" s="27">
        <v>300</v>
      </c>
      <c r="O55" s="27">
        <v>3</v>
      </c>
      <c r="P55" s="27">
        <v>50</v>
      </c>
      <c r="Q55" s="27">
        <v>3</v>
      </c>
      <c r="R55" s="27">
        <v>500</v>
      </c>
      <c r="S55" s="27" t="s">
        <v>39</v>
      </c>
      <c r="T55" s="27">
        <v>2.04527</v>
      </c>
      <c r="U55" s="27">
        <v>-1</v>
      </c>
      <c r="V55" s="27">
        <v>1</v>
      </c>
      <c r="W55" s="27">
        <v>-1</v>
      </c>
      <c r="X55" s="27">
        <v>1</v>
      </c>
      <c r="Y55" s="27">
        <v>0.5</v>
      </c>
      <c r="Z55" s="27">
        <v>0.999</v>
      </c>
      <c r="AA55" s="27" t="s">
        <v>40</v>
      </c>
      <c r="AB55" s="27" t="s">
        <v>41</v>
      </c>
      <c r="AC55" s="27">
        <v>20000</v>
      </c>
      <c r="AD55" s="27">
        <v>1</v>
      </c>
      <c r="AE55" s="27">
        <v>1</v>
      </c>
      <c r="AF55" s="27" t="s">
        <v>42</v>
      </c>
      <c r="AG55" s="27">
        <v>6</v>
      </c>
      <c r="AH55" s="27">
        <v>1</v>
      </c>
      <c r="AI55" s="27">
        <v>1</v>
      </c>
      <c r="AJ55" s="27">
        <v>0</v>
      </c>
      <c r="AK55" s="27">
        <v>0</v>
      </c>
      <c r="AL55" s="27">
        <v>20</v>
      </c>
    </row>
    <row r="56" s="27" customFormat="1" spans="1:38">
      <c r="A56" s="27" t="s">
        <v>92</v>
      </c>
      <c r="B56" s="27" t="s">
        <v>93</v>
      </c>
      <c r="C56" s="27">
        <v>268</v>
      </c>
      <c r="D56" s="27">
        <v>1</v>
      </c>
      <c r="E56" s="27">
        <v>119</v>
      </c>
      <c r="F56" s="27">
        <v>1</v>
      </c>
      <c r="G56" s="28">
        <f t="shared" si="1"/>
        <v>3.66726666666667</v>
      </c>
      <c r="H56" s="27" t="s">
        <v>48</v>
      </c>
      <c r="I56" s="27">
        <v>220.036</v>
      </c>
      <c r="J56" s="27">
        <v>1</v>
      </c>
      <c r="K56" s="27">
        <v>8</v>
      </c>
      <c r="L56" s="27">
        <v>3</v>
      </c>
      <c r="M56" s="27">
        <v>2</v>
      </c>
      <c r="N56" s="27">
        <v>300</v>
      </c>
      <c r="O56" s="27">
        <v>3</v>
      </c>
      <c r="P56" s="27">
        <v>50</v>
      </c>
      <c r="Q56" s="27">
        <v>3</v>
      </c>
      <c r="R56" s="27">
        <v>500</v>
      </c>
      <c r="S56" s="27" t="s">
        <v>39</v>
      </c>
      <c r="T56" s="27">
        <v>2.00042</v>
      </c>
      <c r="U56" s="27">
        <v>-1</v>
      </c>
      <c r="V56" s="27">
        <v>1</v>
      </c>
      <c r="W56" s="27">
        <v>-1</v>
      </c>
      <c r="X56" s="27">
        <v>1</v>
      </c>
      <c r="Y56" s="27">
        <v>0.5</v>
      </c>
      <c r="Z56" s="27">
        <v>0.999</v>
      </c>
      <c r="AA56" s="27" t="s">
        <v>40</v>
      </c>
      <c r="AB56" s="27" t="s">
        <v>41</v>
      </c>
      <c r="AC56" s="27">
        <v>20000</v>
      </c>
      <c r="AD56" s="27">
        <v>2</v>
      </c>
      <c r="AE56" s="27">
        <v>0.121162</v>
      </c>
      <c r="AF56" s="27" t="s">
        <v>42</v>
      </c>
      <c r="AG56" s="27">
        <v>6</v>
      </c>
      <c r="AH56" s="27">
        <v>1</v>
      </c>
      <c r="AI56" s="27">
        <v>1</v>
      </c>
      <c r="AJ56" s="27">
        <v>0</v>
      </c>
      <c r="AK56" s="27">
        <v>0</v>
      </c>
      <c r="AL56" s="27">
        <v>20</v>
      </c>
    </row>
    <row r="57" spans="1:38">
      <c r="A57" t="s">
        <v>94</v>
      </c>
      <c r="B57" t="s">
        <v>95</v>
      </c>
      <c r="C57">
        <v>664</v>
      </c>
      <c r="D57">
        <v>-1</v>
      </c>
      <c r="E57">
        <v>408</v>
      </c>
      <c r="F57">
        <v>-1</v>
      </c>
      <c r="G57" s="28">
        <f t="shared" si="1"/>
        <v>3.3964</v>
      </c>
      <c r="H57" t="s">
        <v>46</v>
      </c>
      <c r="I57">
        <v>203.784</v>
      </c>
      <c r="J57">
        <v>1</v>
      </c>
      <c r="K57">
        <v>8</v>
      </c>
      <c r="L57">
        <v>3</v>
      </c>
      <c r="M57">
        <v>2</v>
      </c>
      <c r="N57">
        <v>300</v>
      </c>
      <c r="O57">
        <v>3</v>
      </c>
      <c r="P57">
        <v>50</v>
      </c>
      <c r="Q57">
        <v>3</v>
      </c>
      <c r="R57">
        <v>500</v>
      </c>
      <c r="S57" t="s">
        <v>39</v>
      </c>
      <c r="T57">
        <v>1.67026</v>
      </c>
      <c r="U57">
        <v>-1</v>
      </c>
      <c r="V57">
        <v>1</v>
      </c>
      <c r="W57">
        <v>-1</v>
      </c>
      <c r="X57">
        <v>1</v>
      </c>
      <c r="Y57">
        <v>0.5</v>
      </c>
      <c r="Z57">
        <v>0.999</v>
      </c>
      <c r="AA57" t="s">
        <v>40</v>
      </c>
      <c r="AB57" t="s">
        <v>41</v>
      </c>
      <c r="AC57">
        <v>180000</v>
      </c>
      <c r="AD57">
        <v>1</v>
      </c>
      <c r="AE57">
        <v>1</v>
      </c>
      <c r="AF57" t="s">
        <v>42</v>
      </c>
      <c r="AG57">
        <v>6</v>
      </c>
      <c r="AH57">
        <v>1</v>
      </c>
      <c r="AI57">
        <v>1</v>
      </c>
      <c r="AJ57">
        <v>0</v>
      </c>
      <c r="AK57">
        <v>0</v>
      </c>
      <c r="AL57">
        <v>180</v>
      </c>
    </row>
    <row r="58" spans="1:38">
      <c r="A58" t="s">
        <v>94</v>
      </c>
      <c r="B58" t="s">
        <v>95</v>
      </c>
      <c r="C58">
        <v>664</v>
      </c>
      <c r="D58">
        <v>-1</v>
      </c>
      <c r="E58">
        <v>397</v>
      </c>
      <c r="F58">
        <v>-1</v>
      </c>
      <c r="G58" s="28">
        <f t="shared" si="1"/>
        <v>3.39661666666667</v>
      </c>
      <c r="H58" t="s">
        <v>46</v>
      </c>
      <c r="I58">
        <v>203.797</v>
      </c>
      <c r="J58">
        <v>1</v>
      </c>
      <c r="K58">
        <v>8</v>
      </c>
      <c r="L58">
        <v>3</v>
      </c>
      <c r="M58">
        <v>2</v>
      </c>
      <c r="N58">
        <v>300</v>
      </c>
      <c r="O58">
        <v>3</v>
      </c>
      <c r="P58">
        <v>50</v>
      </c>
      <c r="Q58">
        <v>3</v>
      </c>
      <c r="R58">
        <v>500</v>
      </c>
      <c r="S58" t="s">
        <v>39</v>
      </c>
      <c r="T58">
        <v>1.63664</v>
      </c>
      <c r="U58">
        <v>-1</v>
      </c>
      <c r="V58">
        <v>1</v>
      </c>
      <c r="W58">
        <v>-1</v>
      </c>
      <c r="X58">
        <v>1</v>
      </c>
      <c r="Y58">
        <v>0.5</v>
      </c>
      <c r="Z58">
        <v>0.999</v>
      </c>
      <c r="AA58" t="s">
        <v>40</v>
      </c>
      <c r="AB58" t="s">
        <v>41</v>
      </c>
      <c r="AC58">
        <v>180000</v>
      </c>
      <c r="AD58">
        <v>2</v>
      </c>
      <c r="AE58">
        <v>0.910786</v>
      </c>
      <c r="AF58" t="s">
        <v>42</v>
      </c>
      <c r="AG58">
        <v>6</v>
      </c>
      <c r="AH58">
        <v>1</v>
      </c>
      <c r="AI58">
        <v>1</v>
      </c>
      <c r="AJ58">
        <v>0</v>
      </c>
      <c r="AK58">
        <v>0</v>
      </c>
      <c r="AL58">
        <v>180</v>
      </c>
    </row>
    <row r="59" s="27" customFormat="1" spans="1:38">
      <c r="A59" s="27" t="s">
        <v>96</v>
      </c>
      <c r="B59" s="27" t="s">
        <v>97</v>
      </c>
      <c r="C59" s="27">
        <v>111.05</v>
      </c>
      <c r="D59" s="27">
        <v>-1</v>
      </c>
      <c r="E59" s="27">
        <v>42.1</v>
      </c>
      <c r="F59" s="27">
        <v>-1</v>
      </c>
      <c r="G59" s="28">
        <f t="shared" si="1"/>
        <v>1.78395</v>
      </c>
      <c r="H59" t="s">
        <v>74</v>
      </c>
      <c r="I59" s="27">
        <v>107.037</v>
      </c>
      <c r="J59" s="27">
        <v>1</v>
      </c>
      <c r="K59" s="27">
        <v>8</v>
      </c>
      <c r="L59" s="27">
        <v>3</v>
      </c>
      <c r="M59" s="27">
        <v>2</v>
      </c>
      <c r="N59" s="27">
        <v>300</v>
      </c>
      <c r="O59" s="27">
        <v>3</v>
      </c>
      <c r="P59" s="27">
        <v>50</v>
      </c>
      <c r="Q59" s="27">
        <v>3</v>
      </c>
      <c r="R59" s="27">
        <v>500</v>
      </c>
      <c r="S59" s="27" t="s">
        <v>39</v>
      </c>
      <c r="T59" s="27">
        <v>1.1603</v>
      </c>
      <c r="U59" s="27">
        <v>-1</v>
      </c>
      <c r="V59" s="27">
        <v>1</v>
      </c>
      <c r="W59" s="27">
        <v>-1</v>
      </c>
      <c r="X59" s="27">
        <v>1</v>
      </c>
      <c r="Y59" s="27">
        <v>0.5</v>
      </c>
      <c r="Z59" s="27">
        <v>0.999</v>
      </c>
      <c r="AA59" s="27" t="s">
        <v>40</v>
      </c>
      <c r="AB59" s="27" t="s">
        <v>77</v>
      </c>
      <c r="AC59" s="27">
        <v>300000</v>
      </c>
      <c r="AD59" s="27">
        <v>1</v>
      </c>
      <c r="AE59" s="27">
        <v>1</v>
      </c>
      <c r="AF59" s="27" t="s">
        <v>42</v>
      </c>
      <c r="AG59" s="27">
        <v>6</v>
      </c>
      <c r="AH59" s="27">
        <v>1</v>
      </c>
      <c r="AI59" s="27">
        <v>1</v>
      </c>
      <c r="AJ59" s="27">
        <v>0</v>
      </c>
      <c r="AK59" s="27">
        <v>0</v>
      </c>
      <c r="AL59" s="27">
        <v>300</v>
      </c>
    </row>
    <row r="60" s="26" customFormat="1" spans="1:38">
      <c r="A60" s="26" t="s">
        <v>98</v>
      </c>
      <c r="B60" s="26" t="s">
        <v>99</v>
      </c>
      <c r="C60" s="26">
        <v>190.9</v>
      </c>
      <c r="D60" s="26">
        <v>-1</v>
      </c>
      <c r="E60" s="26">
        <v>73</v>
      </c>
      <c r="F60" s="26">
        <v>-1</v>
      </c>
      <c r="G60" s="30">
        <f t="shared" si="1"/>
        <v>1.46236166666667</v>
      </c>
      <c r="H60" s="26" t="s">
        <v>68</v>
      </c>
      <c r="I60" s="26">
        <v>87.7417</v>
      </c>
      <c r="J60" s="26">
        <v>1</v>
      </c>
      <c r="K60" s="26">
        <v>8</v>
      </c>
      <c r="L60" s="26">
        <v>3</v>
      </c>
      <c r="M60" s="26">
        <v>2</v>
      </c>
      <c r="N60" s="26">
        <v>300</v>
      </c>
      <c r="O60" s="26">
        <v>3</v>
      </c>
      <c r="P60" s="26">
        <v>50</v>
      </c>
      <c r="Q60" s="26">
        <v>3</v>
      </c>
      <c r="R60" s="26">
        <v>500</v>
      </c>
      <c r="S60" s="26" t="s">
        <v>39</v>
      </c>
      <c r="T60" s="26">
        <v>1.17565</v>
      </c>
      <c r="U60" s="26">
        <v>-1</v>
      </c>
      <c r="V60" s="26">
        <v>1</v>
      </c>
      <c r="W60" s="26">
        <v>-1</v>
      </c>
      <c r="X60" s="26">
        <v>1</v>
      </c>
      <c r="Y60" s="26">
        <v>0.5</v>
      </c>
      <c r="Z60" s="26">
        <v>0.999</v>
      </c>
      <c r="AA60" s="26" t="s">
        <v>40</v>
      </c>
      <c r="AB60" s="26" t="s">
        <v>77</v>
      </c>
      <c r="AC60" s="26">
        <v>20000</v>
      </c>
      <c r="AD60" s="26">
        <v>1</v>
      </c>
      <c r="AE60" s="26">
        <v>1</v>
      </c>
      <c r="AF60" s="26" t="s">
        <v>42</v>
      </c>
      <c r="AG60" s="26">
        <v>6</v>
      </c>
      <c r="AH60" s="26">
        <v>1</v>
      </c>
      <c r="AI60" s="26">
        <v>1</v>
      </c>
      <c r="AJ60" s="26">
        <v>1</v>
      </c>
      <c r="AK60" s="26">
        <v>0</v>
      </c>
      <c r="AL60" s="26">
        <v>20</v>
      </c>
    </row>
    <row r="61" s="26" customFormat="1" spans="1:38">
      <c r="A61" s="26" t="s">
        <v>98</v>
      </c>
      <c r="B61" s="26" t="s">
        <v>99</v>
      </c>
      <c r="C61" s="26">
        <v>190.9</v>
      </c>
      <c r="D61" s="26">
        <v>-1</v>
      </c>
      <c r="E61" s="26">
        <v>155</v>
      </c>
      <c r="F61" s="26">
        <v>-1</v>
      </c>
      <c r="G61" s="30">
        <f t="shared" si="1"/>
        <v>1.46365666666667</v>
      </c>
      <c r="H61" s="26" t="s">
        <v>68</v>
      </c>
      <c r="I61" s="26">
        <v>87.8194</v>
      </c>
      <c r="J61" s="26">
        <v>1</v>
      </c>
      <c r="K61" s="26">
        <v>8</v>
      </c>
      <c r="L61" s="26">
        <v>3</v>
      </c>
      <c r="M61" s="26">
        <v>2</v>
      </c>
      <c r="N61" s="26">
        <v>300</v>
      </c>
      <c r="O61" s="26">
        <v>3</v>
      </c>
      <c r="P61" s="26">
        <v>50</v>
      </c>
      <c r="Q61" s="26">
        <v>3</v>
      </c>
      <c r="R61" s="26">
        <v>500</v>
      </c>
      <c r="S61" s="26" t="s">
        <v>39</v>
      </c>
      <c r="T61" s="26">
        <v>1.24512</v>
      </c>
      <c r="U61" s="26">
        <v>-1</v>
      </c>
      <c r="V61" s="26">
        <v>1</v>
      </c>
      <c r="W61" s="26">
        <v>-1</v>
      </c>
      <c r="X61" s="26">
        <v>1</v>
      </c>
      <c r="Y61" s="26">
        <v>0.5</v>
      </c>
      <c r="Z61" s="26">
        <v>0.999</v>
      </c>
      <c r="AA61" s="26" t="s">
        <v>40</v>
      </c>
      <c r="AB61" s="26" t="s">
        <v>77</v>
      </c>
      <c r="AC61" s="26">
        <v>20000</v>
      </c>
      <c r="AD61" s="26">
        <v>2</v>
      </c>
      <c r="AE61" s="26">
        <v>0.268775</v>
      </c>
      <c r="AF61" s="26" t="s">
        <v>42</v>
      </c>
      <c r="AG61" s="26">
        <v>6</v>
      </c>
      <c r="AH61" s="26">
        <v>1</v>
      </c>
      <c r="AI61" s="26">
        <v>1</v>
      </c>
      <c r="AJ61" s="26">
        <v>1</v>
      </c>
      <c r="AK61" s="26">
        <v>0</v>
      </c>
      <c r="AL61" s="26">
        <v>20</v>
      </c>
    </row>
    <row r="62" s="26" customFormat="1" spans="1:38">
      <c r="A62" s="26" t="s">
        <v>98</v>
      </c>
      <c r="B62" s="26" t="s">
        <v>99</v>
      </c>
      <c r="C62" s="26">
        <v>190.9</v>
      </c>
      <c r="D62" s="26">
        <v>-1</v>
      </c>
      <c r="E62" s="26">
        <v>111</v>
      </c>
      <c r="F62" s="26">
        <v>-1</v>
      </c>
      <c r="G62" s="30">
        <f t="shared" si="1"/>
        <v>1.46311666666667</v>
      </c>
      <c r="H62" s="26" t="s">
        <v>68</v>
      </c>
      <c r="I62" s="26">
        <v>87.787</v>
      </c>
      <c r="J62" s="26">
        <v>1</v>
      </c>
      <c r="K62" s="26">
        <v>8</v>
      </c>
      <c r="L62" s="26">
        <v>3</v>
      </c>
      <c r="M62" s="26">
        <v>2</v>
      </c>
      <c r="N62" s="26">
        <v>300</v>
      </c>
      <c r="O62" s="26">
        <v>3</v>
      </c>
      <c r="P62" s="26">
        <v>50</v>
      </c>
      <c r="Q62" s="26">
        <v>3</v>
      </c>
      <c r="R62" s="26">
        <v>500</v>
      </c>
      <c r="S62" s="26" t="s">
        <v>39</v>
      </c>
      <c r="T62" s="26">
        <v>1.17934</v>
      </c>
      <c r="U62" s="26">
        <v>-1</v>
      </c>
      <c r="V62" s="26">
        <v>1</v>
      </c>
      <c r="W62" s="26">
        <v>-1</v>
      </c>
      <c r="X62" s="26">
        <v>1</v>
      </c>
      <c r="Y62" s="26">
        <v>0.5</v>
      </c>
      <c r="Z62" s="26">
        <v>0.999</v>
      </c>
      <c r="AA62" s="26" t="s">
        <v>40</v>
      </c>
      <c r="AB62" s="26" t="s">
        <v>77</v>
      </c>
      <c r="AC62" s="26">
        <v>20000</v>
      </c>
      <c r="AD62" s="26">
        <v>3</v>
      </c>
      <c r="AE62" s="26">
        <v>0.130654</v>
      </c>
      <c r="AF62" s="26" t="s">
        <v>42</v>
      </c>
      <c r="AG62" s="26">
        <v>6</v>
      </c>
      <c r="AH62" s="26">
        <v>1</v>
      </c>
      <c r="AI62" s="26">
        <v>1</v>
      </c>
      <c r="AJ62" s="26">
        <v>1</v>
      </c>
      <c r="AK62" s="26">
        <v>0</v>
      </c>
      <c r="AL62" s="26">
        <v>20</v>
      </c>
    </row>
    <row r="63" s="26" customFormat="1" spans="1:38">
      <c r="A63" s="26" t="s">
        <v>100</v>
      </c>
      <c r="B63" s="26" t="s">
        <v>101</v>
      </c>
      <c r="C63" s="26">
        <v>191</v>
      </c>
      <c r="D63" s="26">
        <v>-1</v>
      </c>
      <c r="E63" s="26">
        <v>86.9</v>
      </c>
      <c r="F63" s="26">
        <v>-1</v>
      </c>
      <c r="G63" s="30">
        <f t="shared" si="1"/>
        <v>1.7945</v>
      </c>
      <c r="H63" s="26" t="s">
        <v>68</v>
      </c>
      <c r="I63" s="26">
        <v>107.67</v>
      </c>
      <c r="J63" s="26">
        <v>1</v>
      </c>
      <c r="K63" s="26">
        <v>8</v>
      </c>
      <c r="L63" s="26">
        <v>3</v>
      </c>
      <c r="M63" s="26">
        <v>2</v>
      </c>
      <c r="N63" s="26">
        <v>300</v>
      </c>
      <c r="O63" s="26">
        <v>3</v>
      </c>
      <c r="P63" s="26">
        <v>50</v>
      </c>
      <c r="Q63" s="26">
        <v>3</v>
      </c>
      <c r="R63" s="26">
        <v>500</v>
      </c>
      <c r="S63" s="26" t="s">
        <v>39</v>
      </c>
      <c r="T63" s="26">
        <v>1.26257</v>
      </c>
      <c r="U63" s="26">
        <v>-1</v>
      </c>
      <c r="V63" s="26">
        <v>1</v>
      </c>
      <c r="W63" s="26">
        <v>-1</v>
      </c>
      <c r="X63" s="26">
        <v>1</v>
      </c>
      <c r="Y63" s="26">
        <v>0.5</v>
      </c>
      <c r="Z63" s="26">
        <v>0.999</v>
      </c>
      <c r="AA63" s="26" t="s">
        <v>40</v>
      </c>
      <c r="AB63" s="26" t="s">
        <v>77</v>
      </c>
      <c r="AC63" s="26">
        <v>20000</v>
      </c>
      <c r="AD63" s="26">
        <v>1</v>
      </c>
      <c r="AE63" s="26">
        <v>1</v>
      </c>
      <c r="AF63" s="26" t="s">
        <v>42</v>
      </c>
      <c r="AG63" s="26">
        <v>6</v>
      </c>
      <c r="AH63" s="26">
        <v>1</v>
      </c>
      <c r="AI63" s="26">
        <v>1</v>
      </c>
      <c r="AJ63" s="26">
        <v>1</v>
      </c>
      <c r="AK63" s="26">
        <v>0</v>
      </c>
      <c r="AL63" s="26">
        <v>20</v>
      </c>
    </row>
    <row r="64" s="26" customFormat="1" spans="1:38">
      <c r="A64" s="26" t="s">
        <v>100</v>
      </c>
      <c r="B64" s="26" t="s">
        <v>101</v>
      </c>
      <c r="C64" s="26">
        <v>191</v>
      </c>
      <c r="D64" s="26">
        <v>-1</v>
      </c>
      <c r="E64" s="26">
        <v>111</v>
      </c>
      <c r="F64" s="26">
        <v>-1</v>
      </c>
      <c r="G64" s="30">
        <f t="shared" si="1"/>
        <v>1.79535</v>
      </c>
      <c r="H64" s="26" t="s">
        <v>68</v>
      </c>
      <c r="I64" s="26">
        <v>107.721</v>
      </c>
      <c r="J64" s="26">
        <v>1</v>
      </c>
      <c r="K64" s="26">
        <v>8</v>
      </c>
      <c r="L64" s="26">
        <v>3</v>
      </c>
      <c r="M64" s="26">
        <v>2</v>
      </c>
      <c r="N64" s="26">
        <v>300</v>
      </c>
      <c r="O64" s="26">
        <v>3</v>
      </c>
      <c r="P64" s="26">
        <v>50</v>
      </c>
      <c r="Q64" s="26">
        <v>3</v>
      </c>
      <c r="R64" s="26">
        <v>500</v>
      </c>
      <c r="S64" s="26" t="s">
        <v>39</v>
      </c>
      <c r="T64" s="26">
        <v>1.31617</v>
      </c>
      <c r="U64" s="26">
        <v>-1</v>
      </c>
      <c r="V64" s="26">
        <v>1</v>
      </c>
      <c r="W64" s="26">
        <v>-1</v>
      </c>
      <c r="X64" s="26">
        <v>1</v>
      </c>
      <c r="Y64" s="26">
        <v>0.5</v>
      </c>
      <c r="Z64" s="26">
        <v>0.999</v>
      </c>
      <c r="AA64" s="26" t="s">
        <v>40</v>
      </c>
      <c r="AB64" s="26" t="s">
        <v>77</v>
      </c>
      <c r="AC64" s="26">
        <v>20000</v>
      </c>
      <c r="AD64" s="26">
        <v>2</v>
      </c>
      <c r="AE64" s="26">
        <v>0.29767</v>
      </c>
      <c r="AF64" s="26" t="s">
        <v>42</v>
      </c>
      <c r="AG64" s="26">
        <v>6</v>
      </c>
      <c r="AH64" s="26">
        <v>1</v>
      </c>
      <c r="AI64" s="26">
        <v>1</v>
      </c>
      <c r="AJ64" s="26">
        <v>1</v>
      </c>
      <c r="AK64" s="26">
        <v>0</v>
      </c>
      <c r="AL64" s="26">
        <v>20</v>
      </c>
    </row>
    <row r="65" spans="1:38">
      <c r="A65" t="s">
        <v>102</v>
      </c>
      <c r="B65" t="s">
        <v>103</v>
      </c>
      <c r="C65">
        <v>206.067</v>
      </c>
      <c r="D65">
        <v>1</v>
      </c>
      <c r="E65">
        <v>189.04</v>
      </c>
      <c r="F65">
        <v>1</v>
      </c>
      <c r="G65" s="28">
        <f t="shared" si="1"/>
        <v>5.31845</v>
      </c>
      <c r="H65" t="s">
        <v>44</v>
      </c>
      <c r="I65">
        <v>319.107</v>
      </c>
      <c r="J65">
        <v>1</v>
      </c>
      <c r="K65">
        <v>8</v>
      </c>
      <c r="L65">
        <v>3</v>
      </c>
      <c r="M65">
        <v>2</v>
      </c>
      <c r="N65">
        <v>300</v>
      </c>
      <c r="O65">
        <v>3</v>
      </c>
      <c r="P65">
        <v>50</v>
      </c>
      <c r="Q65">
        <v>3</v>
      </c>
      <c r="R65">
        <v>500</v>
      </c>
      <c r="S65" t="s">
        <v>39</v>
      </c>
      <c r="T65">
        <v>1.18725</v>
      </c>
      <c r="U65">
        <v>-1</v>
      </c>
      <c r="V65">
        <v>1</v>
      </c>
      <c r="W65">
        <v>-1</v>
      </c>
      <c r="X65">
        <v>1</v>
      </c>
      <c r="Y65">
        <v>0.5</v>
      </c>
      <c r="Z65">
        <v>0.999</v>
      </c>
      <c r="AA65" t="s">
        <v>40</v>
      </c>
      <c r="AB65" t="s">
        <v>77</v>
      </c>
      <c r="AC65">
        <v>30000</v>
      </c>
      <c r="AD65">
        <v>1</v>
      </c>
      <c r="AE65">
        <v>1</v>
      </c>
      <c r="AF65" t="s">
        <v>42</v>
      </c>
      <c r="AG65">
        <v>6</v>
      </c>
      <c r="AH65">
        <v>1</v>
      </c>
      <c r="AI65">
        <v>1</v>
      </c>
      <c r="AJ65">
        <v>0</v>
      </c>
      <c r="AK65">
        <v>0</v>
      </c>
      <c r="AL65">
        <v>30</v>
      </c>
    </row>
    <row r="66" spans="1:38">
      <c r="A66" t="s">
        <v>102</v>
      </c>
      <c r="B66" t="s">
        <v>103</v>
      </c>
      <c r="C66">
        <v>206.067</v>
      </c>
      <c r="D66">
        <v>1</v>
      </c>
      <c r="E66">
        <v>161.045</v>
      </c>
      <c r="F66">
        <v>1</v>
      </c>
      <c r="G66" s="28">
        <f t="shared" si="1"/>
        <v>5.3176</v>
      </c>
      <c r="H66" t="s">
        <v>44</v>
      </c>
      <c r="I66">
        <v>319.056</v>
      </c>
      <c r="J66">
        <v>1</v>
      </c>
      <c r="K66">
        <v>8</v>
      </c>
      <c r="L66">
        <v>3</v>
      </c>
      <c r="M66">
        <v>2</v>
      </c>
      <c r="N66">
        <v>300</v>
      </c>
      <c r="O66">
        <v>3</v>
      </c>
      <c r="P66">
        <v>50</v>
      </c>
      <c r="Q66">
        <v>3</v>
      </c>
      <c r="R66">
        <v>500</v>
      </c>
      <c r="S66" t="s">
        <v>39</v>
      </c>
      <c r="T66">
        <v>1.16633</v>
      </c>
      <c r="U66">
        <v>-1</v>
      </c>
      <c r="V66">
        <v>1</v>
      </c>
      <c r="W66">
        <v>-1</v>
      </c>
      <c r="X66">
        <v>1</v>
      </c>
      <c r="Y66">
        <v>0.5</v>
      </c>
      <c r="Z66">
        <v>0.999</v>
      </c>
      <c r="AA66" t="s">
        <v>40</v>
      </c>
      <c r="AB66" t="s">
        <v>41</v>
      </c>
      <c r="AC66">
        <v>30000</v>
      </c>
      <c r="AD66">
        <v>2</v>
      </c>
      <c r="AE66">
        <v>0.426652</v>
      </c>
      <c r="AF66" t="s">
        <v>42</v>
      </c>
      <c r="AG66">
        <v>6</v>
      </c>
      <c r="AH66">
        <v>1</v>
      </c>
      <c r="AI66">
        <v>1</v>
      </c>
      <c r="AJ66">
        <v>0</v>
      </c>
      <c r="AK66">
        <v>0</v>
      </c>
      <c r="AL66">
        <v>30</v>
      </c>
    </row>
    <row r="67" spans="1:38">
      <c r="A67" t="s">
        <v>102</v>
      </c>
      <c r="B67" t="s">
        <v>103</v>
      </c>
      <c r="C67">
        <v>206.067</v>
      </c>
      <c r="D67">
        <v>1</v>
      </c>
      <c r="E67">
        <v>101.042</v>
      </c>
      <c r="F67">
        <v>1</v>
      </c>
      <c r="G67" s="28">
        <f>I67/60</f>
        <v>5.3171</v>
      </c>
      <c r="H67" t="s">
        <v>44</v>
      </c>
      <c r="I67">
        <v>319.026</v>
      </c>
      <c r="J67">
        <v>1</v>
      </c>
      <c r="K67">
        <v>8</v>
      </c>
      <c r="L67">
        <v>3</v>
      </c>
      <c r="M67">
        <v>2</v>
      </c>
      <c r="N67">
        <v>300</v>
      </c>
      <c r="O67">
        <v>3</v>
      </c>
      <c r="P67">
        <v>50</v>
      </c>
      <c r="Q67">
        <v>3</v>
      </c>
      <c r="R67">
        <v>500</v>
      </c>
      <c r="S67" t="s">
        <v>39</v>
      </c>
      <c r="T67">
        <v>1.1687</v>
      </c>
      <c r="U67">
        <v>-1</v>
      </c>
      <c r="V67">
        <v>1</v>
      </c>
      <c r="W67">
        <v>-1</v>
      </c>
      <c r="X67">
        <v>1</v>
      </c>
      <c r="Y67">
        <v>0.5</v>
      </c>
      <c r="Z67">
        <v>0.999</v>
      </c>
      <c r="AA67" t="s">
        <v>40</v>
      </c>
      <c r="AB67" t="s">
        <v>41</v>
      </c>
      <c r="AC67">
        <v>30000</v>
      </c>
      <c r="AD67">
        <v>3</v>
      </c>
      <c r="AE67">
        <v>0.29992</v>
      </c>
      <c r="AF67" t="s">
        <v>42</v>
      </c>
      <c r="AG67">
        <v>6</v>
      </c>
      <c r="AH67">
        <v>1</v>
      </c>
      <c r="AI67">
        <v>1</v>
      </c>
      <c r="AJ67">
        <v>0</v>
      </c>
      <c r="AK67">
        <v>0</v>
      </c>
      <c r="AL67">
        <v>30</v>
      </c>
    </row>
    <row r="68" spans="1:38">
      <c r="A68" t="s">
        <v>104</v>
      </c>
      <c r="B68" t="s">
        <v>105</v>
      </c>
      <c r="C68">
        <v>606.074</v>
      </c>
      <c r="D68">
        <v>-1</v>
      </c>
      <c r="E68">
        <v>384.984</v>
      </c>
      <c r="F68">
        <v>-1</v>
      </c>
      <c r="G68" s="28">
        <f>I68/60</f>
        <v>1.60718333333333</v>
      </c>
      <c r="H68" t="s">
        <v>58</v>
      </c>
      <c r="I68">
        <v>96.431</v>
      </c>
      <c r="J68">
        <v>1</v>
      </c>
      <c r="K68">
        <v>8</v>
      </c>
      <c r="L68">
        <v>3</v>
      </c>
      <c r="M68">
        <v>2</v>
      </c>
      <c r="N68">
        <v>300</v>
      </c>
      <c r="O68">
        <v>3</v>
      </c>
      <c r="P68">
        <v>50</v>
      </c>
      <c r="Q68">
        <v>3</v>
      </c>
      <c r="R68">
        <v>500</v>
      </c>
      <c r="S68" t="s">
        <v>39</v>
      </c>
      <c r="T68">
        <v>3.26125</v>
      </c>
      <c r="U68">
        <v>-1</v>
      </c>
      <c r="V68">
        <v>1</v>
      </c>
      <c r="W68">
        <v>-1</v>
      </c>
      <c r="X68">
        <v>1</v>
      </c>
      <c r="Y68">
        <v>0.5</v>
      </c>
      <c r="Z68">
        <v>0.999</v>
      </c>
      <c r="AA68" t="s">
        <v>40</v>
      </c>
      <c r="AB68" t="s">
        <v>41</v>
      </c>
      <c r="AC68">
        <v>50000</v>
      </c>
      <c r="AD68">
        <v>1</v>
      </c>
      <c r="AE68">
        <v>1</v>
      </c>
      <c r="AF68" t="s">
        <v>42</v>
      </c>
      <c r="AG68">
        <v>6</v>
      </c>
      <c r="AH68">
        <v>1</v>
      </c>
      <c r="AI68">
        <v>1</v>
      </c>
      <c r="AJ68">
        <v>1</v>
      </c>
      <c r="AK68">
        <v>0</v>
      </c>
      <c r="AL68">
        <v>50</v>
      </c>
    </row>
    <row r="69" spans="1:38">
      <c r="A69" t="s">
        <v>104</v>
      </c>
      <c r="B69" t="s">
        <v>105</v>
      </c>
      <c r="C69">
        <v>606.074</v>
      </c>
      <c r="D69">
        <v>-1</v>
      </c>
      <c r="E69">
        <v>158.925</v>
      </c>
      <c r="F69">
        <v>-1</v>
      </c>
      <c r="G69" s="28">
        <f>I69/60</f>
        <v>1.60740833333333</v>
      </c>
      <c r="H69" t="s">
        <v>58</v>
      </c>
      <c r="I69">
        <v>96.4445</v>
      </c>
      <c r="J69">
        <v>1</v>
      </c>
      <c r="K69">
        <v>8</v>
      </c>
      <c r="L69">
        <v>3</v>
      </c>
      <c r="M69">
        <v>2</v>
      </c>
      <c r="N69">
        <v>300</v>
      </c>
      <c r="O69">
        <v>3</v>
      </c>
      <c r="P69">
        <v>50</v>
      </c>
      <c r="Q69">
        <v>3</v>
      </c>
      <c r="R69">
        <v>500</v>
      </c>
      <c r="S69" t="s">
        <v>39</v>
      </c>
      <c r="T69">
        <v>3.34326</v>
      </c>
      <c r="U69">
        <v>-1</v>
      </c>
      <c r="V69">
        <v>1</v>
      </c>
      <c r="W69">
        <v>-1</v>
      </c>
      <c r="X69">
        <v>1</v>
      </c>
      <c r="Y69">
        <v>0.5</v>
      </c>
      <c r="Z69">
        <v>0.999</v>
      </c>
      <c r="AA69" t="s">
        <v>40</v>
      </c>
      <c r="AB69" t="s">
        <v>41</v>
      </c>
      <c r="AC69">
        <v>50000</v>
      </c>
      <c r="AD69">
        <v>2</v>
      </c>
      <c r="AE69">
        <v>0.788088</v>
      </c>
      <c r="AF69" t="s">
        <v>42</v>
      </c>
      <c r="AG69">
        <v>6</v>
      </c>
      <c r="AH69">
        <v>1</v>
      </c>
      <c r="AI69">
        <v>1</v>
      </c>
      <c r="AJ69">
        <v>1</v>
      </c>
      <c r="AK69">
        <v>0</v>
      </c>
      <c r="AL69">
        <v>50</v>
      </c>
    </row>
    <row r="70" spans="1:38">
      <c r="A70" t="s">
        <v>104</v>
      </c>
      <c r="B70" t="s">
        <v>105</v>
      </c>
      <c r="C70">
        <v>606.074</v>
      </c>
      <c r="D70">
        <v>-1</v>
      </c>
      <c r="E70">
        <v>272.957</v>
      </c>
      <c r="F70">
        <v>-1</v>
      </c>
      <c r="G70" s="28">
        <f>I70/60</f>
        <v>1.60146666666667</v>
      </c>
      <c r="H70" t="s">
        <v>58</v>
      </c>
      <c r="I70">
        <v>96.088</v>
      </c>
      <c r="J70">
        <v>1</v>
      </c>
      <c r="K70">
        <v>8</v>
      </c>
      <c r="L70">
        <v>3</v>
      </c>
      <c r="M70">
        <v>2</v>
      </c>
      <c r="N70">
        <v>300</v>
      </c>
      <c r="O70">
        <v>3</v>
      </c>
      <c r="P70">
        <v>50</v>
      </c>
      <c r="Q70">
        <v>3</v>
      </c>
      <c r="R70">
        <v>500</v>
      </c>
      <c r="S70" t="s">
        <v>39</v>
      </c>
      <c r="T70">
        <v>3.26592</v>
      </c>
      <c r="U70">
        <v>-1</v>
      </c>
      <c r="V70">
        <v>1</v>
      </c>
      <c r="W70">
        <v>-1</v>
      </c>
      <c r="X70">
        <v>1</v>
      </c>
      <c r="Y70">
        <v>0.5</v>
      </c>
      <c r="Z70">
        <v>0.999</v>
      </c>
      <c r="AA70" t="s">
        <v>40</v>
      </c>
      <c r="AB70" t="s">
        <v>41</v>
      </c>
      <c r="AC70">
        <v>50000</v>
      </c>
      <c r="AD70">
        <v>3</v>
      </c>
      <c r="AE70">
        <v>0.732036</v>
      </c>
      <c r="AF70" t="s">
        <v>42</v>
      </c>
      <c r="AG70">
        <v>6</v>
      </c>
      <c r="AH70">
        <v>1</v>
      </c>
      <c r="AI70">
        <v>1</v>
      </c>
      <c r="AJ70">
        <v>1</v>
      </c>
      <c r="AK70">
        <v>0</v>
      </c>
      <c r="AL70">
        <v>50</v>
      </c>
    </row>
    <row r="71" spans="1:38">
      <c r="A71" t="s">
        <v>106</v>
      </c>
      <c r="B71" t="s">
        <v>107</v>
      </c>
      <c r="C71">
        <v>168.991</v>
      </c>
      <c r="D71">
        <v>-1</v>
      </c>
      <c r="E71">
        <v>96.97</v>
      </c>
      <c r="F71">
        <v>-1</v>
      </c>
      <c r="G71" s="28">
        <f>I71/60</f>
        <v>1.41158</v>
      </c>
      <c r="H71" t="s">
        <v>64</v>
      </c>
      <c r="I71">
        <v>84.6948</v>
      </c>
      <c r="J71">
        <v>1</v>
      </c>
      <c r="K71">
        <v>8</v>
      </c>
      <c r="L71">
        <v>3</v>
      </c>
      <c r="M71">
        <v>2</v>
      </c>
      <c r="N71">
        <v>300</v>
      </c>
      <c r="O71">
        <v>3</v>
      </c>
      <c r="P71">
        <v>50</v>
      </c>
      <c r="Q71">
        <v>3</v>
      </c>
      <c r="R71">
        <v>500</v>
      </c>
      <c r="S71" t="s">
        <v>39</v>
      </c>
      <c r="T71">
        <v>2.33586</v>
      </c>
      <c r="U71">
        <v>-1</v>
      </c>
      <c r="V71">
        <v>1</v>
      </c>
      <c r="W71">
        <v>-1</v>
      </c>
      <c r="X71">
        <v>1</v>
      </c>
      <c r="Y71">
        <v>0.5</v>
      </c>
      <c r="Z71">
        <v>0.999</v>
      </c>
      <c r="AA71" t="s">
        <v>40</v>
      </c>
      <c r="AB71" t="s">
        <v>77</v>
      </c>
      <c r="AC71">
        <v>50000</v>
      </c>
      <c r="AD71">
        <v>1</v>
      </c>
      <c r="AE71">
        <v>1</v>
      </c>
      <c r="AF71" t="s">
        <v>42</v>
      </c>
      <c r="AG71">
        <v>6</v>
      </c>
      <c r="AH71">
        <v>1</v>
      </c>
      <c r="AI71">
        <v>1</v>
      </c>
      <c r="AJ71">
        <v>1</v>
      </c>
      <c r="AK71">
        <v>0</v>
      </c>
      <c r="AL71">
        <v>50</v>
      </c>
    </row>
    <row r="72" spans="1:38">
      <c r="A72" t="s">
        <v>106</v>
      </c>
      <c r="B72" t="s">
        <v>107</v>
      </c>
      <c r="C72">
        <v>168.991</v>
      </c>
      <c r="D72">
        <v>-1</v>
      </c>
      <c r="E72">
        <v>78.959</v>
      </c>
      <c r="F72">
        <v>-1</v>
      </c>
      <c r="G72" s="28">
        <f>I72/60</f>
        <v>1.41044</v>
      </c>
      <c r="H72" t="s">
        <v>64</v>
      </c>
      <c r="I72">
        <v>84.6264</v>
      </c>
      <c r="J72">
        <v>1</v>
      </c>
      <c r="K72">
        <v>8</v>
      </c>
      <c r="L72">
        <v>3</v>
      </c>
      <c r="M72">
        <v>2</v>
      </c>
      <c r="N72">
        <v>300</v>
      </c>
      <c r="O72">
        <v>3</v>
      </c>
      <c r="P72">
        <v>50</v>
      </c>
      <c r="Q72">
        <v>3</v>
      </c>
      <c r="R72">
        <v>500</v>
      </c>
      <c r="S72" t="s">
        <v>39</v>
      </c>
      <c r="T72">
        <v>2.66473</v>
      </c>
      <c r="U72">
        <v>-1</v>
      </c>
      <c r="V72">
        <v>1</v>
      </c>
      <c r="W72">
        <v>-1</v>
      </c>
      <c r="X72">
        <v>1</v>
      </c>
      <c r="Y72">
        <v>0.5</v>
      </c>
      <c r="Z72">
        <v>0.999</v>
      </c>
      <c r="AA72" t="s">
        <v>40</v>
      </c>
      <c r="AB72" t="s">
        <v>77</v>
      </c>
      <c r="AC72">
        <v>50000</v>
      </c>
      <c r="AD72">
        <v>2</v>
      </c>
      <c r="AE72">
        <v>0.996341</v>
      </c>
      <c r="AF72" t="s">
        <v>42</v>
      </c>
      <c r="AG72">
        <v>6</v>
      </c>
      <c r="AH72">
        <v>1</v>
      </c>
      <c r="AI72">
        <v>1</v>
      </c>
      <c r="AJ72">
        <v>1</v>
      </c>
      <c r="AK72">
        <v>0</v>
      </c>
      <c r="AL72">
        <v>50</v>
      </c>
    </row>
    <row r="73" spans="1:38">
      <c r="A73" t="s">
        <v>108</v>
      </c>
      <c r="B73" t="s">
        <v>109</v>
      </c>
      <c r="C73">
        <v>149</v>
      </c>
      <c r="D73">
        <v>-1</v>
      </c>
      <c r="E73">
        <v>89</v>
      </c>
      <c r="F73">
        <v>-1</v>
      </c>
      <c r="G73" s="28">
        <f>I73/60</f>
        <v>1.374495</v>
      </c>
      <c r="H73" t="s">
        <v>68</v>
      </c>
      <c r="I73">
        <v>82.4697</v>
      </c>
      <c r="J73">
        <v>1</v>
      </c>
      <c r="K73">
        <v>8</v>
      </c>
      <c r="L73">
        <v>3</v>
      </c>
      <c r="M73">
        <v>2</v>
      </c>
      <c r="N73">
        <v>300</v>
      </c>
      <c r="O73">
        <v>3</v>
      </c>
      <c r="P73">
        <v>50</v>
      </c>
      <c r="Q73">
        <v>3</v>
      </c>
      <c r="R73">
        <v>500</v>
      </c>
      <c r="S73" t="s">
        <v>39</v>
      </c>
      <c r="T73">
        <v>2.82661</v>
      </c>
      <c r="U73">
        <v>-1</v>
      </c>
      <c r="V73">
        <v>1</v>
      </c>
      <c r="W73">
        <v>-1</v>
      </c>
      <c r="X73">
        <v>1</v>
      </c>
      <c r="Y73">
        <v>0.5</v>
      </c>
      <c r="Z73">
        <v>0.999</v>
      </c>
      <c r="AA73" t="s">
        <v>40</v>
      </c>
      <c r="AB73" t="s">
        <v>77</v>
      </c>
      <c r="AC73">
        <v>500000</v>
      </c>
      <c r="AD73">
        <v>1</v>
      </c>
      <c r="AE73">
        <v>1</v>
      </c>
      <c r="AF73" t="s">
        <v>42</v>
      </c>
      <c r="AG73">
        <v>6</v>
      </c>
      <c r="AH73">
        <v>1</v>
      </c>
      <c r="AI73">
        <v>1</v>
      </c>
      <c r="AJ73">
        <v>0</v>
      </c>
      <c r="AK73">
        <v>0</v>
      </c>
      <c r="AL73">
        <v>500</v>
      </c>
    </row>
    <row r="74" spans="1:38">
      <c r="A74" t="s">
        <v>108</v>
      </c>
      <c r="B74" t="s">
        <v>109</v>
      </c>
      <c r="C74">
        <v>149</v>
      </c>
      <c r="D74">
        <v>-1</v>
      </c>
      <c r="E74">
        <v>59</v>
      </c>
      <c r="F74">
        <v>-1</v>
      </c>
      <c r="G74" s="28">
        <f>I74/60</f>
        <v>1.36586</v>
      </c>
      <c r="H74" t="s">
        <v>68</v>
      </c>
      <c r="I74">
        <v>81.9516</v>
      </c>
      <c r="J74">
        <v>1</v>
      </c>
      <c r="K74">
        <v>8</v>
      </c>
      <c r="L74">
        <v>3</v>
      </c>
      <c r="M74">
        <v>2</v>
      </c>
      <c r="N74">
        <v>300</v>
      </c>
      <c r="O74">
        <v>3</v>
      </c>
      <c r="P74">
        <v>50</v>
      </c>
      <c r="Q74">
        <v>3</v>
      </c>
      <c r="R74">
        <v>500</v>
      </c>
      <c r="S74" t="s">
        <v>39</v>
      </c>
      <c r="T74">
        <v>2.88568</v>
      </c>
      <c r="U74">
        <v>-1</v>
      </c>
      <c r="V74">
        <v>1</v>
      </c>
      <c r="W74">
        <v>-1</v>
      </c>
      <c r="X74">
        <v>1</v>
      </c>
      <c r="Y74">
        <v>0.5</v>
      </c>
      <c r="Z74">
        <v>0.999</v>
      </c>
      <c r="AA74" t="s">
        <v>40</v>
      </c>
      <c r="AB74" t="s">
        <v>77</v>
      </c>
      <c r="AC74">
        <v>500000</v>
      </c>
      <c r="AD74">
        <v>2</v>
      </c>
      <c r="AE74">
        <v>0.839423</v>
      </c>
      <c r="AF74" t="s">
        <v>42</v>
      </c>
      <c r="AG74">
        <v>6</v>
      </c>
      <c r="AH74">
        <v>1</v>
      </c>
      <c r="AI74">
        <v>1</v>
      </c>
      <c r="AJ74">
        <v>0</v>
      </c>
      <c r="AK74">
        <v>0</v>
      </c>
      <c r="AL74">
        <v>500</v>
      </c>
    </row>
    <row r="75" spans="1:38">
      <c r="A75" t="s">
        <v>110</v>
      </c>
      <c r="B75" t="s">
        <v>111</v>
      </c>
      <c r="C75">
        <v>196.7</v>
      </c>
      <c r="D75">
        <v>-1</v>
      </c>
      <c r="E75">
        <v>137</v>
      </c>
      <c r="F75">
        <v>-1</v>
      </c>
      <c r="G75" s="28">
        <f>I75/60</f>
        <v>3.47685</v>
      </c>
      <c r="H75" t="s">
        <v>46</v>
      </c>
      <c r="I75">
        <v>208.611</v>
      </c>
      <c r="J75">
        <v>1</v>
      </c>
      <c r="K75">
        <v>8</v>
      </c>
      <c r="L75">
        <v>3</v>
      </c>
      <c r="M75">
        <v>2</v>
      </c>
      <c r="N75">
        <v>300</v>
      </c>
      <c r="O75">
        <v>3</v>
      </c>
      <c r="P75">
        <v>50</v>
      </c>
      <c r="Q75">
        <v>3</v>
      </c>
      <c r="R75">
        <v>500</v>
      </c>
      <c r="S75" t="s">
        <v>39</v>
      </c>
      <c r="T75">
        <v>1.49904</v>
      </c>
      <c r="U75">
        <v>-1</v>
      </c>
      <c r="V75">
        <v>1</v>
      </c>
      <c r="W75">
        <v>-1</v>
      </c>
      <c r="X75">
        <v>1</v>
      </c>
      <c r="Y75">
        <v>0.5</v>
      </c>
      <c r="Z75">
        <v>0.999</v>
      </c>
      <c r="AA75" t="s">
        <v>40</v>
      </c>
      <c r="AB75" t="s">
        <v>77</v>
      </c>
      <c r="AC75">
        <v>50000</v>
      </c>
      <c r="AD75">
        <v>1</v>
      </c>
      <c r="AE75">
        <v>1</v>
      </c>
      <c r="AF75" t="s">
        <v>42</v>
      </c>
      <c r="AG75">
        <v>6</v>
      </c>
      <c r="AH75">
        <v>1</v>
      </c>
      <c r="AI75">
        <v>1</v>
      </c>
      <c r="AJ75">
        <v>0</v>
      </c>
      <c r="AK75">
        <v>0</v>
      </c>
      <c r="AL75">
        <v>50</v>
      </c>
    </row>
    <row r="76" spans="1:38">
      <c r="A76" t="s">
        <v>110</v>
      </c>
      <c r="B76" t="s">
        <v>111</v>
      </c>
      <c r="C76">
        <v>196.7</v>
      </c>
      <c r="D76">
        <v>-1</v>
      </c>
      <c r="E76">
        <v>138</v>
      </c>
      <c r="F76">
        <v>-1</v>
      </c>
      <c r="G76" s="28">
        <f>I76/60</f>
        <v>3.4765</v>
      </c>
      <c r="H76" t="s">
        <v>46</v>
      </c>
      <c r="I76">
        <v>208.59</v>
      </c>
      <c r="J76">
        <v>1</v>
      </c>
      <c r="K76">
        <v>8</v>
      </c>
      <c r="L76">
        <v>3</v>
      </c>
      <c r="M76">
        <v>2</v>
      </c>
      <c r="N76">
        <v>300</v>
      </c>
      <c r="O76">
        <v>3</v>
      </c>
      <c r="P76">
        <v>50</v>
      </c>
      <c r="Q76">
        <v>3</v>
      </c>
      <c r="R76">
        <v>500</v>
      </c>
      <c r="S76" t="s">
        <v>39</v>
      </c>
      <c r="T76">
        <v>1.47828</v>
      </c>
      <c r="U76">
        <v>-1</v>
      </c>
      <c r="V76">
        <v>1</v>
      </c>
      <c r="W76">
        <v>-1</v>
      </c>
      <c r="X76">
        <v>1</v>
      </c>
      <c r="Y76">
        <v>0.5</v>
      </c>
      <c r="Z76">
        <v>0.999</v>
      </c>
      <c r="AA76" t="s">
        <v>40</v>
      </c>
      <c r="AB76" t="s">
        <v>77</v>
      </c>
      <c r="AC76">
        <v>50000</v>
      </c>
      <c r="AD76">
        <v>2</v>
      </c>
      <c r="AE76">
        <v>0.644147</v>
      </c>
      <c r="AF76" t="s">
        <v>42</v>
      </c>
      <c r="AG76">
        <v>6</v>
      </c>
      <c r="AH76">
        <v>1</v>
      </c>
      <c r="AI76">
        <v>1</v>
      </c>
      <c r="AJ76">
        <v>0</v>
      </c>
      <c r="AK76">
        <v>0</v>
      </c>
      <c r="AL76">
        <v>50</v>
      </c>
    </row>
    <row r="77" spans="1:38">
      <c r="A77" t="s">
        <v>112</v>
      </c>
      <c r="B77" t="s">
        <v>113</v>
      </c>
      <c r="C77">
        <v>255.097</v>
      </c>
      <c r="D77">
        <v>1</v>
      </c>
      <c r="E77">
        <v>123.055</v>
      </c>
      <c r="F77">
        <v>1</v>
      </c>
      <c r="G77" s="28">
        <f>I77/60</f>
        <v>1.45209833333333</v>
      </c>
      <c r="H77" t="s">
        <v>50</v>
      </c>
      <c r="I77">
        <v>87.1259</v>
      </c>
      <c r="J77">
        <v>1</v>
      </c>
      <c r="K77">
        <v>8</v>
      </c>
      <c r="L77">
        <v>3</v>
      </c>
      <c r="M77">
        <v>2</v>
      </c>
      <c r="N77">
        <v>300</v>
      </c>
      <c r="O77">
        <v>3</v>
      </c>
      <c r="P77">
        <v>50</v>
      </c>
      <c r="Q77">
        <v>3</v>
      </c>
      <c r="R77">
        <v>500</v>
      </c>
      <c r="S77" t="s">
        <v>39</v>
      </c>
      <c r="T77">
        <v>1.26511</v>
      </c>
      <c r="U77">
        <v>-1</v>
      </c>
      <c r="V77">
        <v>1</v>
      </c>
      <c r="W77">
        <v>-1</v>
      </c>
      <c r="X77">
        <v>1</v>
      </c>
      <c r="Y77">
        <v>0.5</v>
      </c>
      <c r="Z77">
        <v>0.999</v>
      </c>
      <c r="AA77" t="s">
        <v>40</v>
      </c>
      <c r="AB77" t="s">
        <v>41</v>
      </c>
      <c r="AC77">
        <v>50000</v>
      </c>
      <c r="AD77">
        <v>1</v>
      </c>
      <c r="AE77">
        <v>1</v>
      </c>
      <c r="AF77" t="s">
        <v>42</v>
      </c>
      <c r="AG77">
        <v>6</v>
      </c>
      <c r="AH77">
        <v>1</v>
      </c>
      <c r="AI77">
        <v>1</v>
      </c>
      <c r="AJ77">
        <v>0</v>
      </c>
      <c r="AK77">
        <v>0</v>
      </c>
      <c r="AL77">
        <v>50</v>
      </c>
    </row>
    <row r="78" spans="1:38">
      <c r="A78" t="s">
        <v>112</v>
      </c>
      <c r="B78" t="s">
        <v>113</v>
      </c>
      <c r="C78">
        <v>255.097</v>
      </c>
      <c r="D78">
        <v>1</v>
      </c>
      <c r="E78">
        <v>106.029</v>
      </c>
      <c r="F78">
        <v>1</v>
      </c>
      <c r="G78" s="28">
        <f>I78/60</f>
        <v>1.45135666666667</v>
      </c>
      <c r="H78" t="s">
        <v>50</v>
      </c>
      <c r="I78">
        <v>87.0814</v>
      </c>
      <c r="J78">
        <v>1</v>
      </c>
      <c r="K78">
        <v>8</v>
      </c>
      <c r="L78">
        <v>3</v>
      </c>
      <c r="M78">
        <v>2</v>
      </c>
      <c r="N78">
        <v>300</v>
      </c>
      <c r="O78">
        <v>3</v>
      </c>
      <c r="P78">
        <v>50</v>
      </c>
      <c r="Q78">
        <v>3</v>
      </c>
      <c r="R78">
        <v>500</v>
      </c>
      <c r="S78" t="s">
        <v>39</v>
      </c>
      <c r="T78">
        <v>1.22725</v>
      </c>
      <c r="U78">
        <v>-1</v>
      </c>
      <c r="V78">
        <v>1</v>
      </c>
      <c r="W78">
        <v>-1</v>
      </c>
      <c r="X78">
        <v>1</v>
      </c>
      <c r="Y78">
        <v>0.5</v>
      </c>
      <c r="Z78">
        <v>0.999</v>
      </c>
      <c r="AA78" t="s">
        <v>40</v>
      </c>
      <c r="AB78" t="s">
        <v>41</v>
      </c>
      <c r="AC78">
        <v>50000</v>
      </c>
      <c r="AD78">
        <v>2</v>
      </c>
      <c r="AE78">
        <v>0.0960191</v>
      </c>
      <c r="AF78" t="s">
        <v>42</v>
      </c>
      <c r="AG78">
        <v>6</v>
      </c>
      <c r="AH78">
        <v>1</v>
      </c>
      <c r="AI78">
        <v>1</v>
      </c>
      <c r="AJ78">
        <v>0</v>
      </c>
      <c r="AK78">
        <v>0</v>
      </c>
      <c r="AL78">
        <v>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B30" sqref="B30"/>
    </sheetView>
  </sheetViews>
  <sheetFormatPr defaultColWidth="9" defaultRowHeight="13.5"/>
  <cols>
    <col min="2" max="2" width="31" style="1" customWidth="1"/>
    <col min="3" max="3" width="28.625" style="1" customWidth="1"/>
    <col min="4" max="4" width="12.75" style="1" customWidth="1"/>
    <col min="5" max="5" width="14.125" style="1" customWidth="1"/>
    <col min="6" max="6" width="12.375" style="1" customWidth="1"/>
    <col min="9" max="9" width="12.875" style="1" customWidth="1"/>
    <col min="11" max="11" width="15.625" style="1" customWidth="1"/>
  </cols>
  <sheetData>
    <row r="1" ht="15" customHeight="1" spans="1:11">
      <c r="A1" s="14" t="s">
        <v>0</v>
      </c>
      <c r="B1" s="14" t="s">
        <v>1</v>
      </c>
      <c r="C1" s="15" t="s">
        <v>114</v>
      </c>
      <c r="D1" s="14" t="s">
        <v>115</v>
      </c>
      <c r="E1" s="14" t="s">
        <v>116</v>
      </c>
      <c r="F1" s="14" t="s">
        <v>117</v>
      </c>
      <c r="G1" s="14" t="s">
        <v>118</v>
      </c>
      <c r="H1" s="14" t="s">
        <v>119</v>
      </c>
      <c r="I1" s="14" t="s">
        <v>120</v>
      </c>
      <c r="J1" s="15" t="s">
        <v>121</v>
      </c>
      <c r="K1" s="24" t="s">
        <v>122</v>
      </c>
    </row>
    <row r="2" ht="21" customHeight="1" spans="1:11">
      <c r="A2" s="16" t="s">
        <v>94</v>
      </c>
      <c r="B2" s="16" t="s">
        <v>123</v>
      </c>
      <c r="C2" s="17" t="s">
        <v>124</v>
      </c>
      <c r="D2" s="18" t="s">
        <v>125</v>
      </c>
      <c r="E2" s="18" t="s">
        <v>126</v>
      </c>
      <c r="F2">
        <v>439153</v>
      </c>
      <c r="G2" t="s">
        <v>127</v>
      </c>
      <c r="H2" t="s">
        <v>128</v>
      </c>
      <c r="I2" t="s">
        <v>129</v>
      </c>
      <c r="J2" t="s">
        <v>130</v>
      </c>
      <c r="K2">
        <v>665.441</v>
      </c>
    </row>
    <row r="3" ht="21" customHeight="1" spans="1:11">
      <c r="A3" s="16" t="s">
        <v>92</v>
      </c>
      <c r="B3" s="16" t="s">
        <v>131</v>
      </c>
      <c r="C3" s="17" t="s">
        <v>132</v>
      </c>
      <c r="D3" s="18" t="s">
        <v>133</v>
      </c>
      <c r="E3" s="18" t="s">
        <v>134</v>
      </c>
      <c r="F3">
        <v>60961</v>
      </c>
      <c r="G3" t="s">
        <v>135</v>
      </c>
      <c r="H3" t="s">
        <v>136</v>
      </c>
      <c r="I3" s="25" t="s">
        <v>137</v>
      </c>
      <c r="J3" t="s">
        <v>138</v>
      </c>
      <c r="K3">
        <v>267.2413</v>
      </c>
    </row>
    <row r="4" ht="21" customHeight="1" spans="1:11">
      <c r="A4" s="16" t="s">
        <v>96</v>
      </c>
      <c r="B4" s="16" t="s">
        <v>139</v>
      </c>
      <c r="C4" s="17" t="s">
        <v>140</v>
      </c>
      <c r="D4" s="18" t="s">
        <v>141</v>
      </c>
      <c r="E4" s="18" t="s">
        <v>142</v>
      </c>
      <c r="F4">
        <v>1174</v>
      </c>
      <c r="G4" t="s">
        <v>143</v>
      </c>
      <c r="H4" t="s">
        <v>144</v>
      </c>
      <c r="I4" t="s">
        <v>129</v>
      </c>
      <c r="J4" t="s">
        <v>130</v>
      </c>
      <c r="K4">
        <v>112.0868</v>
      </c>
    </row>
    <row r="5" ht="21" customHeight="1" spans="1:11">
      <c r="A5" s="16" t="s">
        <v>100</v>
      </c>
      <c r="B5" s="16" t="s">
        <v>145</v>
      </c>
      <c r="C5" s="19" t="s">
        <v>146</v>
      </c>
      <c r="D5" s="18" t="s">
        <v>147</v>
      </c>
      <c r="E5" s="18" t="s">
        <v>148</v>
      </c>
      <c r="F5">
        <v>311</v>
      </c>
      <c r="G5" t="s">
        <v>149</v>
      </c>
      <c r="H5" t="s">
        <v>150</v>
      </c>
      <c r="I5" t="s">
        <v>151</v>
      </c>
      <c r="J5" t="s">
        <v>152</v>
      </c>
      <c r="K5">
        <v>192.1235</v>
      </c>
    </row>
    <row r="6" ht="21" customHeight="1" spans="1:11">
      <c r="A6" s="16" t="s">
        <v>98</v>
      </c>
      <c r="B6" s="16" t="s">
        <v>153</v>
      </c>
      <c r="C6" s="19" t="s">
        <v>154</v>
      </c>
      <c r="D6" s="18" t="s">
        <v>155</v>
      </c>
      <c r="E6" s="18" t="s">
        <v>148</v>
      </c>
      <c r="F6">
        <v>1198</v>
      </c>
      <c r="G6" t="s">
        <v>156</v>
      </c>
      <c r="H6" t="s">
        <v>157</v>
      </c>
      <c r="I6" t="s">
        <v>151</v>
      </c>
      <c r="J6" t="s">
        <v>152</v>
      </c>
      <c r="K6">
        <v>192.1235</v>
      </c>
    </row>
    <row r="7" ht="21" customHeight="1" spans="1:11">
      <c r="A7" s="16" t="s">
        <v>106</v>
      </c>
      <c r="B7" s="16" t="s">
        <v>158</v>
      </c>
      <c r="C7" s="19" t="s">
        <v>159</v>
      </c>
      <c r="D7" s="18" t="s">
        <v>160</v>
      </c>
      <c r="E7" s="18" t="s">
        <v>161</v>
      </c>
      <c r="F7">
        <v>439168</v>
      </c>
      <c r="G7" t="s">
        <v>162</v>
      </c>
      <c r="H7" t="s">
        <v>163</v>
      </c>
      <c r="I7" t="s">
        <v>164</v>
      </c>
      <c r="J7" t="s">
        <v>165</v>
      </c>
      <c r="K7">
        <v>170.0578</v>
      </c>
    </row>
    <row r="8" ht="21" customHeight="1" spans="1:11">
      <c r="A8" s="16" t="s">
        <v>166</v>
      </c>
      <c r="B8" s="16" t="s">
        <v>167</v>
      </c>
      <c r="C8" s="19" t="s">
        <v>168</v>
      </c>
      <c r="D8" s="20" t="s">
        <v>169</v>
      </c>
      <c r="E8" s="18" t="s">
        <v>161</v>
      </c>
      <c r="F8">
        <v>668</v>
      </c>
      <c r="G8" t="s">
        <v>170</v>
      </c>
      <c r="H8" t="s">
        <v>171</v>
      </c>
      <c r="I8" t="s">
        <v>164</v>
      </c>
      <c r="J8" t="s">
        <v>165</v>
      </c>
      <c r="K8">
        <v>170.0578</v>
      </c>
    </row>
    <row r="9" ht="21" customHeight="1" spans="1:11">
      <c r="A9" s="16" t="s">
        <v>90</v>
      </c>
      <c r="B9" s="16" t="s">
        <v>172</v>
      </c>
      <c r="C9" s="19" t="s">
        <v>173</v>
      </c>
      <c r="D9" s="21" t="s">
        <v>174</v>
      </c>
      <c r="E9" s="16" t="s">
        <v>175</v>
      </c>
      <c r="F9">
        <v>6140</v>
      </c>
      <c r="G9" t="s">
        <v>176</v>
      </c>
      <c r="H9" t="s">
        <v>177</v>
      </c>
      <c r="I9" t="s">
        <v>178</v>
      </c>
      <c r="J9" t="s">
        <v>179</v>
      </c>
      <c r="K9">
        <v>165.1891</v>
      </c>
    </row>
    <row r="10" ht="21" customHeight="1" spans="1:11">
      <c r="A10" s="16" t="s">
        <v>78</v>
      </c>
      <c r="B10" s="16" t="s">
        <v>180</v>
      </c>
      <c r="C10" s="19" t="s">
        <v>181</v>
      </c>
      <c r="D10" s="21" t="s">
        <v>182</v>
      </c>
      <c r="E10" s="16" t="s">
        <v>183</v>
      </c>
      <c r="F10">
        <v>6288</v>
      </c>
      <c r="G10" t="s">
        <v>184</v>
      </c>
      <c r="H10" t="s">
        <v>185</v>
      </c>
      <c r="I10" t="s">
        <v>178</v>
      </c>
      <c r="J10" t="s">
        <v>179</v>
      </c>
      <c r="K10">
        <v>119.1192</v>
      </c>
    </row>
    <row r="11" ht="21" customHeight="1" spans="1:11">
      <c r="A11" s="16" t="s">
        <v>80</v>
      </c>
      <c r="B11" s="16" t="s">
        <v>186</v>
      </c>
      <c r="C11" s="19" t="s">
        <v>187</v>
      </c>
      <c r="D11" s="21" t="s">
        <v>188</v>
      </c>
      <c r="E11" s="16" t="s">
        <v>189</v>
      </c>
      <c r="F11">
        <v>5862</v>
      </c>
      <c r="G11" t="s">
        <v>190</v>
      </c>
      <c r="H11" t="s">
        <v>191</v>
      </c>
      <c r="I11" t="s">
        <v>178</v>
      </c>
      <c r="J11" t="s">
        <v>179</v>
      </c>
      <c r="K11">
        <v>121.158</v>
      </c>
    </row>
    <row r="12" ht="21" customHeight="1" spans="1:11">
      <c r="A12" s="16" t="s">
        <v>88</v>
      </c>
      <c r="B12" s="16" t="s">
        <v>192</v>
      </c>
      <c r="C12" s="19" t="s">
        <v>193</v>
      </c>
      <c r="D12" s="21" t="s">
        <v>194</v>
      </c>
      <c r="E12" s="16" t="s">
        <v>195</v>
      </c>
      <c r="F12">
        <v>6274</v>
      </c>
      <c r="G12" t="s">
        <v>196</v>
      </c>
      <c r="H12" t="s">
        <v>197</v>
      </c>
      <c r="I12" t="s">
        <v>178</v>
      </c>
      <c r="J12" t="s">
        <v>179</v>
      </c>
      <c r="K12">
        <v>155.1546</v>
      </c>
    </row>
    <row r="13" ht="21" customHeight="1" spans="1:11">
      <c r="A13" s="16" t="s">
        <v>102</v>
      </c>
      <c r="B13" s="16" t="s">
        <v>198</v>
      </c>
      <c r="C13" s="19" t="s">
        <v>199</v>
      </c>
      <c r="D13" s="21" t="s">
        <v>200</v>
      </c>
      <c r="E13" s="16" t="s">
        <v>201</v>
      </c>
      <c r="F13">
        <v>863</v>
      </c>
      <c r="G13" t="s">
        <v>202</v>
      </c>
      <c r="H13" t="s">
        <v>203</v>
      </c>
      <c r="I13" t="s">
        <v>204</v>
      </c>
      <c r="J13" t="s">
        <v>205</v>
      </c>
      <c r="K13">
        <v>205.341</v>
      </c>
    </row>
    <row r="14" ht="21" customHeight="1" spans="1:11">
      <c r="A14" s="16" t="s">
        <v>75</v>
      </c>
      <c r="B14" s="16" t="s">
        <v>206</v>
      </c>
      <c r="C14" s="17" t="s">
        <v>207</v>
      </c>
      <c r="D14" s="21" t="s">
        <v>208</v>
      </c>
      <c r="E14" s="16" t="s">
        <v>209</v>
      </c>
      <c r="F14">
        <v>305</v>
      </c>
      <c r="G14" t="s">
        <v>210</v>
      </c>
      <c r="H14" t="s">
        <v>211</v>
      </c>
      <c r="I14" t="s">
        <v>212</v>
      </c>
      <c r="J14" t="s">
        <v>213</v>
      </c>
      <c r="K14">
        <v>104.1708</v>
      </c>
    </row>
    <row r="15" ht="21" customHeight="1" spans="1:11">
      <c r="A15" s="16" t="s">
        <v>82</v>
      </c>
      <c r="B15" s="16" t="s">
        <v>214</v>
      </c>
      <c r="C15" s="17" t="s">
        <v>215</v>
      </c>
      <c r="D15" s="21" t="s">
        <v>216</v>
      </c>
      <c r="E15" s="16" t="s">
        <v>217</v>
      </c>
      <c r="F15">
        <v>936</v>
      </c>
      <c r="G15" t="s">
        <v>218</v>
      </c>
      <c r="H15" t="s">
        <v>219</v>
      </c>
      <c r="I15" t="s">
        <v>204</v>
      </c>
      <c r="J15" t="s">
        <v>205</v>
      </c>
      <c r="K15">
        <v>122.1246</v>
      </c>
    </row>
    <row r="16" ht="21" customHeight="1" spans="1:11">
      <c r="A16" s="16" t="s">
        <v>104</v>
      </c>
      <c r="B16" s="16" t="s">
        <v>220</v>
      </c>
      <c r="C16" s="22" t="s">
        <v>221</v>
      </c>
      <c r="D16" s="21" t="s">
        <v>222</v>
      </c>
      <c r="E16" s="16" t="s">
        <v>223</v>
      </c>
      <c r="F16">
        <v>445675</v>
      </c>
      <c r="G16" t="s">
        <v>224</v>
      </c>
      <c r="H16" t="s">
        <v>225</v>
      </c>
      <c r="I16" t="s">
        <v>226</v>
      </c>
      <c r="J16" t="s">
        <v>227</v>
      </c>
      <c r="K16">
        <v>607.3537</v>
      </c>
    </row>
    <row r="17" ht="21" customHeight="1" spans="1:11">
      <c r="A17" s="16" t="s">
        <v>112</v>
      </c>
      <c r="B17" s="16" t="s">
        <v>228</v>
      </c>
      <c r="C17" s="17" t="s">
        <v>229</v>
      </c>
      <c r="D17" s="21" t="s">
        <v>230</v>
      </c>
      <c r="E17" s="16" t="s">
        <v>231</v>
      </c>
      <c r="F17">
        <v>439924</v>
      </c>
      <c r="G17" t="s">
        <v>232</v>
      </c>
      <c r="H17" t="s">
        <v>233</v>
      </c>
      <c r="I17" t="s">
        <v>164</v>
      </c>
      <c r="J17" t="s">
        <v>165</v>
      </c>
      <c r="K17">
        <v>255.2472</v>
      </c>
    </row>
    <row r="18" ht="21" customHeight="1" spans="1:11">
      <c r="A18" s="16" t="s">
        <v>108</v>
      </c>
      <c r="B18" s="16" t="s">
        <v>234</v>
      </c>
      <c r="C18" s="17" t="s">
        <v>235</v>
      </c>
      <c r="D18" s="21" t="s">
        <v>236</v>
      </c>
      <c r="E18" s="16" t="s">
        <v>237</v>
      </c>
      <c r="F18">
        <v>10975657</v>
      </c>
      <c r="G18" t="s">
        <v>238</v>
      </c>
      <c r="H18" t="s">
        <v>239</v>
      </c>
      <c r="I18" t="s">
        <v>164</v>
      </c>
      <c r="J18" t="s">
        <v>165</v>
      </c>
      <c r="K18">
        <v>150.1299</v>
      </c>
    </row>
    <row r="19" ht="21" customHeight="1" spans="1:11">
      <c r="A19" s="16" t="s">
        <v>110</v>
      </c>
      <c r="B19" s="16" t="s">
        <v>240</v>
      </c>
      <c r="C19" s="19" t="s">
        <v>241</v>
      </c>
      <c r="D19" s="21" t="s">
        <v>242</v>
      </c>
      <c r="E19" s="16" t="s">
        <v>243</v>
      </c>
      <c r="F19">
        <v>1245</v>
      </c>
      <c r="G19" t="s">
        <v>244</v>
      </c>
      <c r="H19" t="s">
        <v>245</v>
      </c>
      <c r="I19" t="s">
        <v>246</v>
      </c>
      <c r="J19" t="s">
        <v>247</v>
      </c>
      <c r="K19">
        <v>198.1727</v>
      </c>
    </row>
    <row r="20" ht="21" customHeight="1" spans="1:11">
      <c r="A20" s="23" t="s">
        <v>248</v>
      </c>
      <c r="B20" s="19" t="s">
        <v>249</v>
      </c>
      <c r="C20" s="23" t="s">
        <v>250</v>
      </c>
      <c r="D20" s="21" t="s">
        <v>251</v>
      </c>
      <c r="E20" s="16" t="s">
        <v>223</v>
      </c>
      <c r="F20">
        <v>1167</v>
      </c>
      <c r="G20" t="s">
        <v>252</v>
      </c>
      <c r="H20" t="s">
        <v>253</v>
      </c>
      <c r="I20" t="s">
        <v>226</v>
      </c>
      <c r="J20" t="s">
        <v>227</v>
      </c>
      <c r="K20">
        <v>607.3537</v>
      </c>
    </row>
  </sheetData>
  <conditionalFormatting sqref="D1">
    <cfRule type="duplicateValues" dxfId="0" priority="1"/>
  </conditionalFormatting>
  <conditionalFormatting sqref="G1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F9" sqref="F9"/>
    </sheetView>
  </sheetViews>
  <sheetFormatPr defaultColWidth="9" defaultRowHeight="13.5" outlineLevelRow="6" outlineLevelCol="1"/>
  <sheetData>
    <row r="1" spans="1:2">
      <c r="A1" t="s">
        <v>0</v>
      </c>
      <c r="B1" t="s">
        <v>254</v>
      </c>
    </row>
    <row r="2" spans="1:2">
      <c r="A2" t="s">
        <v>45</v>
      </c>
      <c r="B2" t="s">
        <v>255</v>
      </c>
    </row>
    <row r="3" spans="1:2">
      <c r="A3" t="s">
        <v>57</v>
      </c>
      <c r="B3" t="s">
        <v>256</v>
      </c>
    </row>
    <row r="4" spans="1:2">
      <c r="A4" t="s">
        <v>71</v>
      </c>
      <c r="B4" t="s">
        <v>257</v>
      </c>
    </row>
    <row r="5" spans="1:2">
      <c r="A5" t="s">
        <v>43</v>
      </c>
      <c r="B5" t="s">
        <v>258</v>
      </c>
    </row>
    <row r="6" spans="1:2">
      <c r="A6" t="s">
        <v>69</v>
      </c>
      <c r="B6" t="s">
        <v>259</v>
      </c>
    </row>
    <row r="7" spans="1:2">
      <c r="A7" t="s">
        <v>65</v>
      </c>
      <c r="B7" t="s">
        <v>260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selection activeCell="M11" sqref="M11"/>
    </sheetView>
  </sheetViews>
  <sheetFormatPr defaultColWidth="9" defaultRowHeight="13.5" outlineLevelRow="5"/>
  <cols>
    <col min="1" max="12" width="14.125" style="1" customWidth="1"/>
    <col min="13" max="13" width="96.125" style="1" customWidth="1"/>
  </cols>
  <sheetData>
    <row r="1" spans="1:13">
      <c r="A1" s="3" t="s">
        <v>261</v>
      </c>
      <c r="B1" s="3" t="s">
        <v>262</v>
      </c>
      <c r="C1" s="4" t="s">
        <v>263</v>
      </c>
      <c r="D1" s="4" t="s">
        <v>264</v>
      </c>
      <c r="E1" s="4" t="s">
        <v>265</v>
      </c>
      <c r="F1" s="4" t="s">
        <v>266</v>
      </c>
      <c r="G1" s="5" t="s">
        <v>267</v>
      </c>
      <c r="H1" s="3" t="s">
        <v>268</v>
      </c>
      <c r="I1" s="3" t="s">
        <v>269</v>
      </c>
      <c r="J1" s="11" t="s">
        <v>270</v>
      </c>
      <c r="K1" s="11" t="s">
        <v>271</v>
      </c>
      <c r="L1" s="11" t="s">
        <v>272</v>
      </c>
      <c r="M1" s="5" t="s">
        <v>273</v>
      </c>
    </row>
    <row r="2" ht="15" customHeight="1" spans="1:13">
      <c r="A2" s="6" t="s">
        <v>274</v>
      </c>
      <c r="B2" s="6" t="s">
        <v>275</v>
      </c>
      <c r="C2" s="6" t="s">
        <v>276</v>
      </c>
      <c r="D2" s="7" t="s">
        <v>277</v>
      </c>
      <c r="E2" s="6">
        <v>2</v>
      </c>
      <c r="F2" s="8"/>
      <c r="G2" s="9">
        <v>1000</v>
      </c>
      <c r="H2" s="6" t="s">
        <v>278</v>
      </c>
      <c r="I2" s="6" t="s">
        <v>279</v>
      </c>
      <c r="J2" s="12">
        <f>L2*K2/100</f>
        <v>100000</v>
      </c>
      <c r="K2" s="12">
        <v>10</v>
      </c>
      <c r="L2" s="12">
        <v>1000000</v>
      </c>
      <c r="M2" s="13" t="s">
        <v>280</v>
      </c>
    </row>
    <row r="3" ht="15" customHeight="1" spans="1:13">
      <c r="A3" s="6" t="s">
        <v>274</v>
      </c>
      <c r="B3" s="6" t="s">
        <v>281</v>
      </c>
      <c r="C3" s="6" t="s">
        <v>276</v>
      </c>
      <c r="D3" s="6" t="s">
        <v>277</v>
      </c>
      <c r="E3" s="6"/>
      <c r="F3" s="8"/>
      <c r="G3" s="8">
        <v>1000</v>
      </c>
      <c r="H3" s="6" t="s">
        <v>278</v>
      </c>
      <c r="I3" s="6" t="s">
        <v>279</v>
      </c>
      <c r="J3" s="12">
        <f>L3*K3/100</f>
        <v>100000</v>
      </c>
      <c r="K3" s="12">
        <v>10</v>
      </c>
      <c r="L3" s="12">
        <v>1000000</v>
      </c>
      <c r="M3" s="13" t="s">
        <v>280</v>
      </c>
    </row>
    <row r="4" ht="15" customHeight="1" spans="1:13">
      <c r="A4" s="6" t="s">
        <v>274</v>
      </c>
      <c r="B4" s="6" t="s">
        <v>282</v>
      </c>
      <c r="C4" s="6" t="s">
        <v>276</v>
      </c>
      <c r="D4" s="6" t="s">
        <v>276</v>
      </c>
      <c r="E4" s="6">
        <v>2</v>
      </c>
      <c r="F4" s="8"/>
      <c r="G4" s="8">
        <v>1</v>
      </c>
      <c r="H4" s="6" t="s">
        <v>279</v>
      </c>
      <c r="I4" s="6" t="s">
        <v>279</v>
      </c>
      <c r="J4" s="12">
        <f>L4*K4/100</f>
        <v>100000000</v>
      </c>
      <c r="K4" s="12">
        <v>10</v>
      </c>
      <c r="L4" s="12">
        <v>1000000000</v>
      </c>
      <c r="M4" s="13" t="s">
        <v>280</v>
      </c>
    </row>
    <row r="5" ht="15" customHeight="1" spans="1:13">
      <c r="A5" s="6" t="s">
        <v>274</v>
      </c>
      <c r="B5" s="6" t="s">
        <v>283</v>
      </c>
      <c r="C5" s="6" t="s">
        <v>276</v>
      </c>
      <c r="D5" s="10" t="s">
        <v>284</v>
      </c>
      <c r="E5" s="6">
        <v>2</v>
      </c>
      <c r="F5" s="8"/>
      <c r="G5" s="8">
        <v>1000000</v>
      </c>
      <c r="H5" s="6" t="s">
        <v>285</v>
      </c>
      <c r="I5" s="6" t="s">
        <v>279</v>
      </c>
      <c r="J5" s="12">
        <f>L5*K5/100</f>
        <v>2000</v>
      </c>
      <c r="K5" s="12">
        <v>10</v>
      </c>
      <c r="L5" s="12">
        <v>20000</v>
      </c>
      <c r="M5" s="13" t="s">
        <v>280</v>
      </c>
    </row>
    <row r="6" ht="15" customHeight="1" spans="1:13">
      <c r="A6" s="6" t="s">
        <v>274</v>
      </c>
      <c r="B6" s="6" t="s">
        <v>286</v>
      </c>
      <c r="C6" s="6" t="s">
        <v>276</v>
      </c>
      <c r="D6" s="6" t="s">
        <v>277</v>
      </c>
      <c r="E6" s="6">
        <v>5</v>
      </c>
      <c r="F6" s="8"/>
      <c r="G6" s="8">
        <v>1000</v>
      </c>
      <c r="H6" s="6" t="s">
        <v>278</v>
      </c>
      <c r="I6" s="6" t="s">
        <v>279</v>
      </c>
      <c r="J6" s="12">
        <f>L6*K6/100</f>
        <v>2000000</v>
      </c>
      <c r="K6" s="12">
        <v>10</v>
      </c>
      <c r="L6" s="12">
        <v>20000000</v>
      </c>
      <c r="M6" s="13" t="s">
        <v>280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9"/>
  <sheetViews>
    <sheetView workbookViewId="0">
      <selection activeCell="A20" sqref="A20:A40"/>
    </sheetView>
  </sheetViews>
  <sheetFormatPr defaultColWidth="9" defaultRowHeight="13.5"/>
  <cols>
    <col min="1" max="1" width="42.25" style="1" customWidth="1"/>
  </cols>
  <sheetData>
    <row r="1" spans="1:1">
      <c r="A1" s="2" t="s">
        <v>0</v>
      </c>
    </row>
    <row r="2" spans="1:1">
      <c r="A2" t="s">
        <v>51</v>
      </c>
    </row>
    <row r="3" spans="1:1">
      <c r="A3" t="s">
        <v>45</v>
      </c>
    </row>
    <row r="4" spans="1:1">
      <c r="A4" t="s">
        <v>73</v>
      </c>
    </row>
    <row r="5" spans="1:1">
      <c r="A5" t="s">
        <v>57</v>
      </c>
    </row>
    <row r="6" spans="1:1">
      <c r="A6" t="s">
        <v>37</v>
      </c>
    </row>
    <row r="7" spans="1:1">
      <c r="A7" t="s">
        <v>59</v>
      </c>
    </row>
    <row r="8" spans="1:1">
      <c r="A8" t="s">
        <v>67</v>
      </c>
    </row>
    <row r="9" spans="1:1">
      <c r="A9" t="s">
        <v>53</v>
      </c>
    </row>
    <row r="10" spans="1:1">
      <c r="A10" t="s">
        <v>63</v>
      </c>
    </row>
    <row r="11" spans="1:1">
      <c r="A11" t="s">
        <v>71</v>
      </c>
    </row>
    <row r="12" spans="1:1">
      <c r="A12" t="s">
        <v>287</v>
      </c>
    </row>
    <row r="13" spans="1:1">
      <c r="A13" t="s">
        <v>55</v>
      </c>
    </row>
    <row r="14" spans="1:1">
      <c r="A14" t="s">
        <v>47</v>
      </c>
    </row>
    <row r="15" spans="1:1">
      <c r="A15" t="s">
        <v>43</v>
      </c>
    </row>
    <row r="16" spans="1:1">
      <c r="A16" t="s">
        <v>61</v>
      </c>
    </row>
    <row r="17" spans="1:1">
      <c r="A17" t="s">
        <v>69</v>
      </c>
    </row>
    <row r="18" spans="1:1">
      <c r="A18" t="s">
        <v>49</v>
      </c>
    </row>
    <row r="19" spans="1:1">
      <c r="A19" t="s">
        <v>65</v>
      </c>
    </row>
    <row r="20" spans="1:1">
      <c r="A20" t="s">
        <v>75</v>
      </c>
    </row>
    <row r="21" spans="1:1">
      <c r="A21" t="s">
        <v>96</v>
      </c>
    </row>
    <row r="22" spans="1:1">
      <c r="A22" t="s">
        <v>78</v>
      </c>
    </row>
    <row r="23" spans="1:1">
      <c r="A23" t="s">
        <v>80</v>
      </c>
    </row>
    <row r="24" spans="1:1">
      <c r="A24" t="s">
        <v>82</v>
      </c>
    </row>
    <row r="25" spans="1:1">
      <c r="A25" t="s">
        <v>108</v>
      </c>
    </row>
    <row r="26" spans="1:1">
      <c r="A26" t="s">
        <v>88</v>
      </c>
    </row>
    <row r="27" spans="1:1">
      <c r="A27" t="s">
        <v>90</v>
      </c>
    </row>
    <row r="28" spans="1:1">
      <c r="A28" t="s">
        <v>106</v>
      </c>
    </row>
    <row r="29" spans="1:1">
      <c r="A29" t="s">
        <v>166</v>
      </c>
    </row>
    <row r="30" spans="1:1">
      <c r="A30" t="s">
        <v>98</v>
      </c>
    </row>
    <row r="31" spans="1:1">
      <c r="A31" t="s">
        <v>100</v>
      </c>
    </row>
    <row r="32" spans="1:1">
      <c r="A32" t="s">
        <v>110</v>
      </c>
    </row>
    <row r="33" spans="1:1">
      <c r="A33" t="s">
        <v>102</v>
      </c>
    </row>
    <row r="34" spans="1:1">
      <c r="A34" t="s">
        <v>112</v>
      </c>
    </row>
    <row r="35" spans="1:1">
      <c r="A35" t="s">
        <v>92</v>
      </c>
    </row>
    <row r="36" spans="1:1">
      <c r="A36" t="s">
        <v>104</v>
      </c>
    </row>
    <row r="37" spans="1:1">
      <c r="A37" t="s">
        <v>248</v>
      </c>
    </row>
    <row r="38" spans="1:1">
      <c r="A38" t="s">
        <v>94</v>
      </c>
    </row>
    <row r="39" spans="1:1">
      <c r="A39" t="s">
        <v>86</v>
      </c>
    </row>
    <row r="40" spans="1:1">
      <c r="A40" t="s">
        <v>84</v>
      </c>
    </row>
    <row r="88" spans="1:1">
      <c r="A88" t="s">
        <v>288</v>
      </c>
    </row>
    <row r="89" spans="1:1">
      <c r="A89" t="s">
        <v>289</v>
      </c>
    </row>
    <row r="90" spans="1:1">
      <c r="A90" t="s">
        <v>290</v>
      </c>
    </row>
    <row r="91" spans="1:1">
      <c r="A91" t="s">
        <v>291</v>
      </c>
    </row>
    <row r="92" spans="1:1">
      <c r="A92" t="s">
        <v>292</v>
      </c>
    </row>
    <row r="93" spans="1:1">
      <c r="A93" t="s">
        <v>293</v>
      </c>
    </row>
    <row r="94" spans="1:1">
      <c r="A94" t="s">
        <v>294</v>
      </c>
    </row>
    <row r="95" spans="1:1">
      <c r="A95" t="s">
        <v>295</v>
      </c>
    </row>
    <row r="96" spans="1:1">
      <c r="A96" t="s">
        <v>296</v>
      </c>
    </row>
    <row r="97" spans="1:1">
      <c r="A97" t="s">
        <v>297</v>
      </c>
    </row>
    <row r="98" spans="1:1">
      <c r="A98" t="s">
        <v>298</v>
      </c>
    </row>
    <row r="99" spans="1:1">
      <c r="A99" t="s">
        <v>299</v>
      </c>
    </row>
    <row r="100" spans="1:1">
      <c r="A100" t="s">
        <v>300</v>
      </c>
    </row>
    <row r="101" spans="1:1">
      <c r="A101" t="s">
        <v>301</v>
      </c>
    </row>
    <row r="102" spans="1:1">
      <c r="A102" t="s">
        <v>302</v>
      </c>
    </row>
    <row r="103" spans="1:1">
      <c r="A103" t="s">
        <v>303</v>
      </c>
    </row>
    <row r="104" spans="1:1">
      <c r="A104" t="s">
        <v>304</v>
      </c>
    </row>
    <row r="105" spans="1:1">
      <c r="A105" t="s">
        <v>305</v>
      </c>
    </row>
    <row r="106" spans="1:1">
      <c r="A106" t="s">
        <v>306</v>
      </c>
    </row>
    <row r="107" spans="1:1">
      <c r="A107" t="s">
        <v>307</v>
      </c>
    </row>
    <row r="108" spans="1:1">
      <c r="A108" t="s">
        <v>308</v>
      </c>
    </row>
    <row r="109" spans="1:1">
      <c r="A109" t="s">
        <v>309</v>
      </c>
    </row>
    <row r="110" spans="1:1">
      <c r="A110" t="s">
        <v>310</v>
      </c>
    </row>
    <row r="111" spans="1:1">
      <c r="A111" t="s">
        <v>311</v>
      </c>
    </row>
    <row r="112" spans="1:1">
      <c r="A112" t="s">
        <v>312</v>
      </c>
    </row>
    <row r="113" spans="1:1">
      <c r="A113" t="s">
        <v>313</v>
      </c>
    </row>
    <row r="114" spans="1:1">
      <c r="A114" t="s">
        <v>314</v>
      </c>
    </row>
    <row r="115" spans="1:1">
      <c r="A115" t="s">
        <v>315</v>
      </c>
    </row>
    <row r="116" spans="1:1">
      <c r="A116" t="s">
        <v>316</v>
      </c>
    </row>
    <row r="117" spans="1:1">
      <c r="A117" t="s">
        <v>317</v>
      </c>
    </row>
    <row r="118" spans="1:1">
      <c r="A118" t="s">
        <v>318</v>
      </c>
    </row>
    <row r="119" spans="1:1">
      <c r="A119" t="s">
        <v>319</v>
      </c>
    </row>
    <row r="120" spans="1:1">
      <c r="A120" t="s">
        <v>320</v>
      </c>
    </row>
    <row r="121" spans="1:1">
      <c r="A121" t="s">
        <v>321</v>
      </c>
    </row>
    <row r="122" spans="1:1">
      <c r="A122" t="s">
        <v>322</v>
      </c>
    </row>
    <row r="123" spans="1:1">
      <c r="A123" t="s">
        <v>323</v>
      </c>
    </row>
    <row r="124" spans="1:1">
      <c r="A124" t="s">
        <v>324</v>
      </c>
    </row>
    <row r="125" spans="1:1">
      <c r="A125" t="s">
        <v>325</v>
      </c>
    </row>
    <row r="126" spans="1:1">
      <c r="A126" t="s">
        <v>326</v>
      </c>
    </row>
    <row r="127" spans="1:1">
      <c r="A127" t="s">
        <v>327</v>
      </c>
    </row>
    <row r="128" spans="1:1">
      <c r="A128" t="s">
        <v>328</v>
      </c>
    </row>
    <row r="129" spans="1:1">
      <c r="A129" t="s">
        <v>329</v>
      </c>
    </row>
    <row r="130" spans="1:1">
      <c r="A130" t="s">
        <v>330</v>
      </c>
    </row>
    <row r="131" spans="1:1">
      <c r="A131" t="s">
        <v>331</v>
      </c>
    </row>
    <row r="132" spans="1:1">
      <c r="A132" t="s">
        <v>332</v>
      </c>
    </row>
    <row r="133" spans="1:1">
      <c r="A133" t="s">
        <v>333</v>
      </c>
    </row>
    <row r="134" spans="1:1">
      <c r="A134" t="s">
        <v>334</v>
      </c>
    </row>
    <row r="135" spans="1:1">
      <c r="A135" t="s">
        <v>335</v>
      </c>
    </row>
    <row r="136" spans="1:1">
      <c r="A136" t="s">
        <v>336</v>
      </c>
    </row>
    <row r="137" spans="1:1">
      <c r="A137" t="s">
        <v>337</v>
      </c>
    </row>
    <row r="138" spans="1:1">
      <c r="A138" t="s">
        <v>338</v>
      </c>
    </row>
    <row r="139" spans="1:1">
      <c r="A139" t="s">
        <v>339</v>
      </c>
    </row>
    <row r="140" spans="1:1">
      <c r="A140" t="s">
        <v>340</v>
      </c>
    </row>
    <row r="141" spans="1:1">
      <c r="A141" t="s">
        <v>341</v>
      </c>
    </row>
    <row r="142" spans="1:1">
      <c r="A142" t="s">
        <v>342</v>
      </c>
    </row>
    <row r="143" spans="1:1">
      <c r="A143" t="s">
        <v>343</v>
      </c>
    </row>
    <row r="144" spans="1:1">
      <c r="A144" t="s">
        <v>344</v>
      </c>
    </row>
    <row r="145" spans="1:1">
      <c r="A145" t="s">
        <v>345</v>
      </c>
    </row>
    <row r="146" spans="1:1">
      <c r="A146" t="s">
        <v>346</v>
      </c>
    </row>
    <row r="147" spans="1:1">
      <c r="A147" t="s">
        <v>347</v>
      </c>
    </row>
    <row r="148" spans="1:1">
      <c r="A148" t="s">
        <v>348</v>
      </c>
    </row>
    <row r="149" spans="1:1">
      <c r="A149" t="s">
        <v>349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workbookViewId="0">
      <selection activeCell="F7" sqref="F7"/>
    </sheetView>
  </sheetViews>
  <sheetFormatPr defaultColWidth="9" defaultRowHeight="13.5"/>
  <sheetData>
    <row r="1" spans="1:1">
      <c r="A1" t="s">
        <v>75</v>
      </c>
    </row>
    <row r="2" spans="1:1">
      <c r="A2" t="s">
        <v>96</v>
      </c>
    </row>
    <row r="3" spans="1:1">
      <c r="A3" t="s">
        <v>78</v>
      </c>
    </row>
    <row r="4" spans="1:1">
      <c r="A4" t="s">
        <v>80</v>
      </c>
    </row>
    <row r="5" spans="1:1">
      <c r="A5" t="s">
        <v>82</v>
      </c>
    </row>
    <row r="6" spans="1:1">
      <c r="A6" t="s">
        <v>108</v>
      </c>
    </row>
    <row r="7" spans="1:1">
      <c r="A7" t="s">
        <v>88</v>
      </c>
    </row>
    <row r="8" spans="1:1">
      <c r="A8" t="s">
        <v>90</v>
      </c>
    </row>
    <row r="9" spans="1:1">
      <c r="A9" t="s">
        <v>106</v>
      </c>
    </row>
    <row r="10" spans="1:1">
      <c r="A10" t="s">
        <v>166</v>
      </c>
    </row>
    <row r="11" spans="1:1">
      <c r="A11" t="s">
        <v>98</v>
      </c>
    </row>
    <row r="12" spans="1:1">
      <c r="A12" t="s">
        <v>100</v>
      </c>
    </row>
    <row r="13" spans="1:1">
      <c r="A13" t="s">
        <v>110</v>
      </c>
    </row>
    <row r="14" spans="1:1">
      <c r="A14" t="s">
        <v>102</v>
      </c>
    </row>
    <row r="15" spans="1:1">
      <c r="A15" t="s">
        <v>112</v>
      </c>
    </row>
    <row r="16" spans="1:1">
      <c r="A16" t="s">
        <v>92</v>
      </c>
    </row>
    <row r="17" spans="1:1">
      <c r="A17" t="s">
        <v>104</v>
      </c>
    </row>
    <row r="18" spans="1:1">
      <c r="A18" t="s">
        <v>248</v>
      </c>
    </row>
    <row r="19" spans="1:1">
      <c r="A19" t="s">
        <v>94</v>
      </c>
    </row>
    <row r="20" spans="1:1">
      <c r="A20" t="s">
        <v>86</v>
      </c>
    </row>
    <row r="21" spans="1:1">
      <c r="A21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Tuning@20250506-19</vt:lpstr>
      <vt:lpstr>Annotation</vt:lpstr>
      <vt:lpstr>ISRT</vt:lpstr>
      <vt:lpstr>calNote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黄强</cp:lastModifiedBy>
  <dcterms:created xsi:type="dcterms:W3CDTF">2023-05-12T11:15:00Z</dcterms:created>
  <dcterms:modified xsi:type="dcterms:W3CDTF">2025-05-07T06:01:00Z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A86F9B91A59848509DB46B330C38232F_12</vt:lpwstr>
  </property>
</Properties>
</file>