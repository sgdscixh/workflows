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01"/>
  </bookViews>
  <sheets>
    <sheet name="Tuning@20250707-11" sheetId="1" r:id="rId1"/>
    <sheet name="Tuning@20250630-15" sheetId="2" r:id="rId2"/>
    <sheet name="Tuning@20250707-10" sheetId="3" r:id="rId3"/>
    <sheet name="Tuning@20250626-09" sheetId="4" r:id="rId4"/>
    <sheet name="Tuning@20250625-09" sheetId="5" r:id="rId5"/>
    <sheet name="Tuning@20250613-16" sheetId="6" r:id="rId6"/>
    <sheet name="Tuning@20250611-09" sheetId="7" r:id="rId7"/>
    <sheet name="Tuning@20250611-14" sheetId="8" r:id="rId8"/>
    <sheet name="Tuning@20250528-15" sheetId="9" r:id="rId9"/>
    <sheet name="Tuning@20250521-15" sheetId="10" r:id="rId10"/>
    <sheet name="Tuning@20250521-16" sheetId="11" r:id="rId11"/>
    <sheet name="Tuning@20250506-09" sheetId="12" r:id="rId12"/>
    <sheet name="Tuning@20250424-11" sheetId="13" r:id="rId13"/>
    <sheet name="Tuning@20250310-15" sheetId="14" r:id="rId14"/>
    <sheet name="levels" sheetId="15" r:id="rId15"/>
    <sheet name="source" sheetId="16" r:id="rId16"/>
    <sheet name="Mw" sheetId="17" r:id="rId17"/>
    <sheet name="Tuning@20250707-13" sheetId="18" r:id="rId18"/>
    <sheet name="Tuning@20250707-14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<sst xmlns="http://schemas.openxmlformats.org/spreadsheetml/2006/main" count="1714" uniqueCount="52">
  <si>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</si>
  <si>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</si>
  <si>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</si>
  <si>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</si>
  <si>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</si>
  <si>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</si>
  <si>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</si>
  <si>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</si>
  <si>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</si>
  <si>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</si>
  <si>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</si>
  <si>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</si>
  <si>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</si>
  <si>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</si>
  <si>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</si>
  <si>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</si>
  <si>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</si>
  <si>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</si>
  <si>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</si>
  <si>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</si>
  <si>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</si>
  <si>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</si>
  <si>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</si>
  <si>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</si>
  <si>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</si>
  <si>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</si>
  <si>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</si>
  <si>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</si>
  <si>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</si>
  <si>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rt_window</t>
  </si>
  <si>
    <t>rt_tol</t>
  </si>
  <si>
    <t>smooth</t>
  </si>
  <si>
    <t>baseline</t>
  </si>
  <si>
    <t>乙酸</t>
  </si>
  <si>
    <t>ricker</t>
  </si>
  <si>
    <t>linear</t>
  </si>
  <si>
    <t>STD</t>
  </si>
  <si>
    <t>IS-1</t>
  </si>
  <si>
    <t>丙酸</t>
  </si>
  <si>
    <t>异丁酸</t>
  </si>
  <si>
    <t>丁酸</t>
  </si>
  <si>
    <t>异戊酸</t>
  </si>
  <si>
    <t>戊酸</t>
  </si>
  <si>
    <t>IS</t>
  </si>
  <si>
    <t>己酸</t>
  </si>
  <si>
    <t>庚酸</t>
  </si>
  <si>
    <t>辛酸</t>
  </si>
  <si>
    <t>壬酸</t>
  </si>
  <si>
    <t>癸酸</t>
  </si>
  <si>
    <t>level2</t>
  </si>
  <si>
    <t>aquire_index</t>
  </si>
  <si>
    <t>Molecular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</si>
</sst>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tabSelected="1" workbookViewId="0">
      <selection activeCell="L9" sqref="L9"/>
    </sheetView>
  </sheetViews>
  <sheetFormatPr defaultColWidth="9" defaultRowHeight="13.5"/>
  <cols>
    <col min="12" max="12" width="9.375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0.791108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251.731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0.728061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275.333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0.688895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282.854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0.706677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304.21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0.706384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318.673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0.734883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346.115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0.708033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357.212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0.689096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390.968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0.652147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431.96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0.795415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468.316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0.802191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501.056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0.868173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534.408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sortState ref="A2:AG13">
    <sortCondition ref="T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0.682778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369.249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0.721192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314.828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0.747655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285.029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0.832354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260.454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0.808821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511.295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0.68698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402.093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0.640249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442.34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0.694016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293.002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0.699202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329.878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0.723088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357.843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0.877595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546.113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0.781848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478.249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0.708033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357.212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0.706677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318.673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0.728061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275.333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0.791108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251.731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0.802191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501.056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0.689096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390.968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0.652147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431.96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0.688895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282.854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0.706384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304.261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0.734883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346.115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0.868173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534.408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0.795415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468.316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T15" sqref="T15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0.815941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261.237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0.734595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285.804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0.693242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293.728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0.693356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315.523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0.693356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330.724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0.709738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358.744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0.681635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370.13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0.670132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402.925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0.648046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443.107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0.782885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478.959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0.78477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512.062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0.839334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546.955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T1" sqref="T$1:T$1048576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0.815293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261.237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0.734783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285.804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0.693278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293.728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0.693222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330.724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0.693359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330.724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0.709844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358.744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0.681642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370.13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0.670112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402.925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0.648103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443.107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0.78253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478.958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0.785916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512.062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0.844738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546.956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D37" sqref="D37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0.695313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378.203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0.765726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323.618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0.825738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293.36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0.927895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268.793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0.815576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519.373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0.691594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410.693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0.653919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450.398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0.725039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301.052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0.731117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338.7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0.754889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367.189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0.851059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555.165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0.816881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485.839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C37" sqref="C37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0.700286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404.452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0.779372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349.584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0.782331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317.322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0.854928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290.544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0.871092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545.613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0.703406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435.502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0.66751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474.098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0.73979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326.088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0.754469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365.719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0.730879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393.646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0.869223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581.198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0.834903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509.359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0.707198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378.356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0.775072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323.905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0.857419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293.806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1.05719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269.573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0.816734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519.697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0.701715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410.932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0.678076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450.654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0.740748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301.293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0.739347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338.868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0.764248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367.406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0.882114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555.523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0.832351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486.108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S13" sqref="S13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customHeight="1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0.765556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 s="4">
        <v>269.4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ht="14.25" customHeight="1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0.75564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 s="4">
        <v>293.94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ht="14.25" customHeight="1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0.735712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 s="4">
        <v>301.14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ht="14.25" customHeight="1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0.736813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 s="4">
        <v>323.94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ht="14.25" customHeight="1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0.722252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 s="4">
        <v>338.76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ht="14.25" customHeight="1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0.724174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 s="4">
        <v>367.98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ht="14.25" customHeight="1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0.682133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 s="4">
        <v>378.12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ht="14.25" customHeight="1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0.691274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 s="4">
        <v>411.12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ht="14.25" customHeight="1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0.680701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 s="4">
        <v>450.84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ht="14.25" customHeight="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0.728316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 s="4">
        <v>486.42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ht="14.25" customHeight="1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0.727975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 s="4">
        <v>520.2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ht="14.25" customHeight="1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0.745919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 s="4">
        <v>555.78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D35" sqref="D35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0.721041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293.577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0.715408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321.617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0.704654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331.026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0.729712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354.666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0.694858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371.043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0.688214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398.772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0.667561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409.709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0.659522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440.375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0.63866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478.729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0.655068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514.32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0.672361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551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0.672065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586.618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T2" sqref="T2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0.721041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307.86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0.715387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337.08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0.704667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346.8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0.729666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370.86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0.694811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386.94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0.688276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414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0.667515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425.1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0.659545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455.04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0.638663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493.14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0.655068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529.5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0.703017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567.54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0.672065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602.64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T11" sqref="T11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0.669768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293.58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0.66552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321.48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0.666079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331.2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0.694865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354.48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0.691075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370.92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0.743587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398.46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0.740537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400.98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0.76252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440.28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0.701914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478.8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0.685517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514.32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0.677064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>
        <v>594.72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0.690829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586.62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0.752407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328.38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0.703015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276.525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0.674343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248.98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0.710998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226.191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0.729577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480.145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0.78169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362.626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0.757126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407.132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0.684749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256.863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0.716793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290.83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0.764642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316.768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0.752945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511.536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0.746789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446.103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T18" sqref="T18"/>
    </sheetView>
  </sheetViews>
  <sheetFormatPr defaultColWidth="9" defaultRowHeight="13.5"/>
  <cols>
    <col min="12" max="12" width="9.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0.717801</v>
      </c>
      <c r="M2">
        <v>-0.2</v>
      </c>
      <c r="N2">
        <v>0.5</v>
      </c>
      <c r="O2">
        <v>-2</v>
      </c>
      <c r="P2">
        <v>2</v>
      </c>
      <c r="Q2">
        <v>0.5</v>
      </c>
      <c r="R2">
        <v>0.99999</v>
      </c>
      <c r="S2" t="s">
        <v>35</v>
      </c>
      <c r="T2" t="e">
        <f>60*#REF!</f>
        <v>#REF!</v>
      </c>
      <c r="U2" t="s">
        <v>36</v>
      </c>
      <c r="V2">
        <v>1</v>
      </c>
      <c r="W2">
        <v>43</v>
      </c>
      <c r="X2">
        <v>43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8</v>
      </c>
      <c r="AF2">
        <v>0</v>
      </c>
      <c r="AG2">
        <v>1</v>
      </c>
    </row>
    <row r="3" spans="1:33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0.708945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 t="e">
        <f>60*#REF!</f>
        <v>#REF!</v>
      </c>
      <c r="U3" t="s">
        <v>36</v>
      </c>
      <c r="V3">
        <v>1</v>
      </c>
      <c r="W3">
        <v>74</v>
      </c>
      <c r="X3">
        <v>74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5</v>
      </c>
      <c r="AF3">
        <v>0</v>
      </c>
      <c r="AG3">
        <v>1</v>
      </c>
    </row>
    <row r="4" spans="1:33">
      <c r="A4" t="s">
        <v>39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0.699723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 t="e">
        <f>60*#REF!</f>
        <v>#REF!</v>
      </c>
      <c r="U4" t="s">
        <v>36</v>
      </c>
      <c r="V4">
        <v>1</v>
      </c>
      <c r="W4">
        <v>43</v>
      </c>
      <c r="X4">
        <v>43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3</v>
      </c>
      <c r="AF4">
        <v>0</v>
      </c>
      <c r="AG4">
        <v>1</v>
      </c>
    </row>
    <row r="5" spans="1:33">
      <c r="A5" t="s">
        <v>40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0.700766</v>
      </c>
      <c r="M5">
        <v>-0.2</v>
      </c>
      <c r="N5">
        <v>0.2</v>
      </c>
      <c r="O5">
        <v>-2</v>
      </c>
      <c r="P5">
        <v>2</v>
      </c>
      <c r="Q5">
        <v>0.5</v>
      </c>
      <c r="R5">
        <v>0.99999</v>
      </c>
      <c r="S5" t="s">
        <v>35</v>
      </c>
      <c r="T5" t="e">
        <f>60*#REF!</f>
        <v>#REF!</v>
      </c>
      <c r="U5" t="s">
        <v>36</v>
      </c>
      <c r="V5">
        <v>1</v>
      </c>
      <c r="W5">
        <v>60</v>
      </c>
      <c r="X5">
        <v>60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3</v>
      </c>
      <c r="AF5">
        <v>0</v>
      </c>
      <c r="AG5">
        <v>1</v>
      </c>
    </row>
    <row r="6" spans="1:33">
      <c r="A6" t="s">
        <v>41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0.711411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 t="e">
        <f>60*#REF!</f>
        <v>#REF!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0.758159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 t="e">
        <f>60*#REF!</f>
        <v>#REF!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43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0.743945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 t="e">
        <f>60*#REF!</f>
        <v>#REF!</v>
      </c>
      <c r="U8" t="s">
        <v>43</v>
      </c>
      <c r="V8">
        <v>1</v>
      </c>
      <c r="W8">
        <v>74</v>
      </c>
      <c r="X8">
        <v>74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44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0.766841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 t="e">
        <f>60*#REF!</f>
        <v>#REF!</v>
      </c>
      <c r="U9" t="s">
        <v>36</v>
      </c>
      <c r="V9">
        <v>1</v>
      </c>
      <c r="W9">
        <v>60</v>
      </c>
      <c r="X9">
        <v>60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45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0.704901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 t="e">
        <f>60*#REF!</f>
        <v>#REF!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46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0.683681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 t="e">
        <f>60*#REF!</f>
        <v>#REF!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47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0.691903</v>
      </c>
      <c r="M12">
        <v>-0.2</v>
      </c>
      <c r="N12">
        <v>0.2</v>
      </c>
      <c r="O12">
        <v>-2</v>
      </c>
      <c r="P12">
        <v>2</v>
      </c>
      <c r="Q12">
        <v>0.5</v>
      </c>
      <c r="R12">
        <v>0.99999</v>
      </c>
      <c r="S12" t="s">
        <v>35</v>
      </c>
      <c r="T12" t="e">
        <f>60*#REF!</f>
        <v>#REF!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48</v>
      </c>
      <c r="B13">
        <v>1</v>
      </c>
      <c r="C13">
        <v>5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0.707956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 t="e">
        <f>60*#REF!</f>
        <v>#REF!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1"/>
  <sheetViews>
    <sheetView topLeftCell="A58" workbookViewId="0">
      <selection activeCell="C86" sqref="C86"/>
    </sheetView>
  </sheetViews>
  <sheetFormatPr defaultColWidth="9" defaultRowHeight="13.5" outlineLevelCol="2"/>
  <cols>
    <col min="2" max="2" width="14.875" customWidth="1"/>
    <col min="3" max="3" width="13.75" customWidth="1"/>
  </cols>
  <sheetData>
    <row r="1" spans="1:3">
      <c r="A1" t="s">
        <v>0</v>
      </c>
      <c r="B1" t="s">
        <v>49</v>
      </c>
      <c r="C1" t="s">
        <v>50</v>
      </c>
    </row>
    <row r="2" spans="1:3">
      <c r="A2" t="s">
        <v>33</v>
      </c>
      <c r="B2">
        <v>50</v>
      </c>
      <c r="C2">
        <v>0</v>
      </c>
    </row>
    <row r="3" spans="1:3">
      <c r="A3" t="s">
        <v>33</v>
      </c>
      <c r="B3">
        <v>20</v>
      </c>
      <c r="C3">
        <v>1</v>
      </c>
    </row>
    <row r="4" spans="1:3">
      <c r="A4" t="s">
        <v>33</v>
      </c>
      <c r="B4">
        <v>10</v>
      </c>
      <c r="C4">
        <v>2</v>
      </c>
    </row>
    <row r="5" spans="1:3">
      <c r="A5" t="s">
        <v>33</v>
      </c>
      <c r="B5">
        <v>5</v>
      </c>
      <c r="C5">
        <v>3</v>
      </c>
    </row>
    <row r="6" spans="1:3">
      <c r="A6" t="s">
        <v>33</v>
      </c>
      <c r="B6">
        <v>2</v>
      </c>
      <c r="C6">
        <v>4</v>
      </c>
    </row>
    <row r="7" spans="1:3">
      <c r="A7" t="s">
        <v>33</v>
      </c>
      <c r="B7">
        <v>1</v>
      </c>
      <c r="C7">
        <v>5</v>
      </c>
    </row>
    <row r="8" spans="1:3">
      <c r="A8" t="s">
        <v>33</v>
      </c>
      <c r="B8">
        <v>0.5</v>
      </c>
      <c r="C8">
        <v>6</v>
      </c>
    </row>
    <row r="9" spans="1:3">
      <c r="A9" t="s">
        <v>33</v>
      </c>
      <c r="B9">
        <v>0.2</v>
      </c>
      <c r="C9">
        <v>7</v>
      </c>
    </row>
    <row r="10" spans="1:3">
      <c r="A10" t="s">
        <v>33</v>
      </c>
      <c r="B10">
        <v>0.1</v>
      </c>
      <c r="C10">
        <v>8</v>
      </c>
    </row>
    <row r="11" spans="1:3">
      <c r="A11" t="s">
        <v>33</v>
      </c>
      <c r="B11">
        <v>0.05</v>
      </c>
      <c r="C11">
        <v>9</v>
      </c>
    </row>
    <row r="12" spans="1:3">
      <c r="A12" t="s">
        <v>33</v>
      </c>
      <c r="B12">
        <v>0.02</v>
      </c>
      <c r="C12">
        <v>10</v>
      </c>
    </row>
    <row r="13" spans="1:3">
      <c r="A13" t="s">
        <v>33</v>
      </c>
      <c r="B13">
        <v>0.01</v>
      </c>
      <c r="C13">
        <v>11</v>
      </c>
    </row>
    <row r="14" spans="1:3">
      <c r="A14" t="s">
        <v>38</v>
      </c>
      <c r="B14">
        <v>50</v>
      </c>
      <c r="C14">
        <v>0</v>
      </c>
    </row>
    <row r="15" spans="1:3">
      <c r="A15" t="s">
        <v>38</v>
      </c>
      <c r="B15">
        <v>20</v>
      </c>
      <c r="C15">
        <v>1</v>
      </c>
    </row>
    <row r="16" spans="1:3">
      <c r="A16" t="s">
        <v>38</v>
      </c>
      <c r="B16">
        <v>10</v>
      </c>
      <c r="C16">
        <v>2</v>
      </c>
    </row>
    <row r="17" spans="1:3">
      <c r="A17" t="s">
        <v>38</v>
      </c>
      <c r="B17">
        <v>5</v>
      </c>
      <c r="C17">
        <v>3</v>
      </c>
    </row>
    <row r="18" spans="1:3">
      <c r="A18" t="s">
        <v>38</v>
      </c>
      <c r="B18">
        <v>2</v>
      </c>
      <c r="C18">
        <v>4</v>
      </c>
    </row>
    <row r="19" spans="1:3">
      <c r="A19" t="s">
        <v>38</v>
      </c>
      <c r="B19">
        <v>1</v>
      </c>
      <c r="C19">
        <v>5</v>
      </c>
    </row>
    <row r="20" spans="1:3">
      <c r="A20" t="s">
        <v>38</v>
      </c>
      <c r="B20">
        <v>0.5</v>
      </c>
      <c r="C20">
        <v>6</v>
      </c>
    </row>
    <row r="21" spans="1:3">
      <c r="A21" t="s">
        <v>38</v>
      </c>
      <c r="B21">
        <v>0.2</v>
      </c>
      <c r="C21">
        <v>7</v>
      </c>
    </row>
    <row r="22" spans="1:3">
      <c r="A22" t="s">
        <v>38</v>
      </c>
      <c r="B22">
        <v>0.1</v>
      </c>
      <c r="C22">
        <v>8</v>
      </c>
    </row>
    <row r="23" spans="1:3">
      <c r="A23" t="s">
        <v>38</v>
      </c>
      <c r="B23">
        <v>0.05</v>
      </c>
      <c r="C23">
        <v>9</v>
      </c>
    </row>
    <row r="24" spans="1:3">
      <c r="A24" t="s">
        <v>38</v>
      </c>
      <c r="B24">
        <v>0.02</v>
      </c>
      <c r="C24">
        <v>10</v>
      </c>
    </row>
    <row r="25" spans="1:3">
      <c r="A25" t="s">
        <v>38</v>
      </c>
      <c r="B25">
        <v>0.01</v>
      </c>
      <c r="C25">
        <v>11</v>
      </c>
    </row>
    <row r="26" spans="1:3">
      <c r="A26" t="s">
        <v>39</v>
      </c>
      <c r="B26">
        <v>50</v>
      </c>
      <c r="C26">
        <v>0</v>
      </c>
    </row>
    <row r="27" spans="1:3">
      <c r="A27" t="s">
        <v>39</v>
      </c>
      <c r="B27">
        <v>20</v>
      </c>
      <c r="C27">
        <v>1</v>
      </c>
    </row>
    <row r="28" spans="1:3">
      <c r="A28" t="s">
        <v>39</v>
      </c>
      <c r="B28">
        <v>10</v>
      </c>
      <c r="C28">
        <v>2</v>
      </c>
    </row>
    <row r="29" spans="1:3">
      <c r="A29" t="s">
        <v>39</v>
      </c>
      <c r="B29">
        <v>5</v>
      </c>
      <c r="C29">
        <v>3</v>
      </c>
    </row>
    <row r="30" spans="1:3">
      <c r="A30" t="s">
        <v>39</v>
      </c>
      <c r="B30">
        <v>2</v>
      </c>
      <c r="C30">
        <v>4</v>
      </c>
    </row>
    <row r="31" spans="1:3">
      <c r="A31" t="s">
        <v>39</v>
      </c>
      <c r="B31">
        <v>1</v>
      </c>
      <c r="C31">
        <v>5</v>
      </c>
    </row>
    <row r="32" spans="1:3">
      <c r="A32" t="s">
        <v>39</v>
      </c>
      <c r="B32">
        <v>0.5</v>
      </c>
      <c r="C32">
        <v>6</v>
      </c>
    </row>
    <row r="33" spans="1:3">
      <c r="A33" t="s">
        <v>39</v>
      </c>
      <c r="B33">
        <v>0.2</v>
      </c>
      <c r="C33">
        <v>7</v>
      </c>
    </row>
    <row r="34" spans="1:3">
      <c r="A34" t="s">
        <v>39</v>
      </c>
      <c r="B34">
        <v>0.1</v>
      </c>
      <c r="C34">
        <v>8</v>
      </c>
    </row>
    <row r="35" spans="1:3">
      <c r="A35" t="s">
        <v>39</v>
      </c>
      <c r="B35">
        <v>0.05</v>
      </c>
      <c r="C35">
        <v>9</v>
      </c>
    </row>
    <row r="36" spans="1:3">
      <c r="A36" t="s">
        <v>39</v>
      </c>
      <c r="B36">
        <v>0.02</v>
      </c>
      <c r="C36">
        <v>10</v>
      </c>
    </row>
    <row r="37" spans="1:3">
      <c r="A37" t="s">
        <v>39</v>
      </c>
      <c r="B37">
        <v>0.01</v>
      </c>
      <c r="C37">
        <v>11</v>
      </c>
    </row>
    <row r="38" spans="1:3">
      <c r="A38" t="s">
        <v>40</v>
      </c>
      <c r="B38">
        <v>50</v>
      </c>
      <c r="C38">
        <v>0</v>
      </c>
    </row>
    <row r="39" spans="1:3">
      <c r="A39" t="s">
        <v>40</v>
      </c>
      <c r="B39">
        <v>20</v>
      </c>
      <c r="C39">
        <v>1</v>
      </c>
    </row>
    <row r="40" spans="1:3">
      <c r="A40" t="s">
        <v>40</v>
      </c>
      <c r="B40">
        <v>10</v>
      </c>
      <c r="C40">
        <v>2</v>
      </c>
    </row>
    <row r="41" spans="1:3">
      <c r="A41" t="s">
        <v>40</v>
      </c>
      <c r="B41">
        <v>5</v>
      </c>
      <c r="C41">
        <v>3</v>
      </c>
    </row>
    <row r="42" spans="1:3">
      <c r="A42" t="s">
        <v>40</v>
      </c>
      <c r="B42">
        <v>2</v>
      </c>
      <c r="C42">
        <v>4</v>
      </c>
    </row>
    <row r="43" spans="1:3">
      <c r="A43" t="s">
        <v>40</v>
      </c>
      <c r="B43">
        <v>1</v>
      </c>
      <c r="C43">
        <v>5</v>
      </c>
    </row>
    <row r="44" spans="1:3">
      <c r="A44" t="s">
        <v>40</v>
      </c>
      <c r="B44">
        <v>0.5</v>
      </c>
      <c r="C44">
        <v>6</v>
      </c>
    </row>
    <row r="45" spans="1:3">
      <c r="A45" t="s">
        <v>40</v>
      </c>
      <c r="B45">
        <v>0.2</v>
      </c>
      <c r="C45">
        <v>7</v>
      </c>
    </row>
    <row r="46" spans="1:3">
      <c r="A46" t="s">
        <v>40</v>
      </c>
      <c r="B46">
        <v>0.1</v>
      </c>
      <c r="C46">
        <v>8</v>
      </c>
    </row>
    <row r="47" spans="1:3">
      <c r="A47" t="s">
        <v>40</v>
      </c>
      <c r="B47">
        <v>0.05</v>
      </c>
      <c r="C47">
        <v>9</v>
      </c>
    </row>
    <row r="48" spans="1:3">
      <c r="A48" t="s">
        <v>40</v>
      </c>
      <c r="B48">
        <v>0.02</v>
      </c>
      <c r="C48">
        <v>10</v>
      </c>
    </row>
    <row r="49" spans="1:3">
      <c r="A49" t="s">
        <v>40</v>
      </c>
      <c r="B49">
        <v>0.01</v>
      </c>
      <c r="C49">
        <v>11</v>
      </c>
    </row>
    <row r="50" spans="1:3">
      <c r="A50" t="s">
        <v>41</v>
      </c>
      <c r="B50">
        <v>50</v>
      </c>
      <c r="C50">
        <v>0</v>
      </c>
    </row>
    <row r="51" spans="1:3">
      <c r="A51" t="s">
        <v>41</v>
      </c>
      <c r="B51">
        <v>20</v>
      </c>
      <c r="C51">
        <v>1</v>
      </c>
    </row>
    <row r="52" spans="1:3">
      <c r="A52" t="s">
        <v>41</v>
      </c>
      <c r="B52">
        <v>10</v>
      </c>
      <c r="C52">
        <v>2</v>
      </c>
    </row>
    <row r="53" spans="1:3">
      <c r="A53" t="s">
        <v>41</v>
      </c>
      <c r="B53">
        <v>5</v>
      </c>
      <c r="C53">
        <v>3</v>
      </c>
    </row>
    <row r="54" spans="1:3">
      <c r="A54" t="s">
        <v>41</v>
      </c>
      <c r="B54">
        <v>2</v>
      </c>
      <c r="C54">
        <v>4</v>
      </c>
    </row>
    <row r="55" spans="1:3">
      <c r="A55" t="s">
        <v>41</v>
      </c>
      <c r="B55">
        <v>1</v>
      </c>
      <c r="C55">
        <v>5</v>
      </c>
    </row>
    <row r="56" spans="1:3">
      <c r="A56" t="s">
        <v>41</v>
      </c>
      <c r="B56">
        <v>0.5</v>
      </c>
      <c r="C56">
        <v>6</v>
      </c>
    </row>
    <row r="57" spans="1:3">
      <c r="A57" t="s">
        <v>41</v>
      </c>
      <c r="B57">
        <v>0.2</v>
      </c>
      <c r="C57">
        <v>7</v>
      </c>
    </row>
    <row r="58" spans="1:3">
      <c r="A58" t="s">
        <v>41</v>
      </c>
      <c r="B58">
        <v>0.1</v>
      </c>
      <c r="C58">
        <v>8</v>
      </c>
    </row>
    <row r="59" spans="1:3">
      <c r="A59" t="s">
        <v>41</v>
      </c>
      <c r="B59">
        <v>0.05</v>
      </c>
      <c r="C59">
        <v>9</v>
      </c>
    </row>
    <row r="60" spans="1:3">
      <c r="A60" t="s">
        <v>41</v>
      </c>
      <c r="B60">
        <v>0.02</v>
      </c>
      <c r="C60">
        <v>10</v>
      </c>
    </row>
    <row r="61" spans="1:3">
      <c r="A61" t="s">
        <v>41</v>
      </c>
      <c r="B61">
        <v>0.01</v>
      </c>
      <c r="C61">
        <v>11</v>
      </c>
    </row>
    <row r="62" spans="1:3">
      <c r="A62" t="s">
        <v>42</v>
      </c>
      <c r="B62">
        <v>50</v>
      </c>
      <c r="C62">
        <v>0</v>
      </c>
    </row>
    <row r="63" spans="1:3">
      <c r="A63" t="s">
        <v>42</v>
      </c>
      <c r="B63">
        <v>20</v>
      </c>
      <c r="C63">
        <v>1</v>
      </c>
    </row>
    <row r="64" spans="1:3">
      <c r="A64" t="s">
        <v>42</v>
      </c>
      <c r="B64">
        <v>10</v>
      </c>
      <c r="C64">
        <v>2</v>
      </c>
    </row>
    <row r="65" spans="1:3">
      <c r="A65" t="s">
        <v>42</v>
      </c>
      <c r="B65">
        <v>5</v>
      </c>
      <c r="C65">
        <v>3</v>
      </c>
    </row>
    <row r="66" spans="1:3">
      <c r="A66" t="s">
        <v>42</v>
      </c>
      <c r="B66">
        <v>2</v>
      </c>
      <c r="C66">
        <v>4</v>
      </c>
    </row>
    <row r="67" spans="1:3">
      <c r="A67" t="s">
        <v>42</v>
      </c>
      <c r="B67">
        <v>1</v>
      </c>
      <c r="C67">
        <v>5</v>
      </c>
    </row>
    <row r="68" spans="1:3">
      <c r="A68" t="s">
        <v>42</v>
      </c>
      <c r="B68">
        <v>0.5</v>
      </c>
      <c r="C68">
        <v>6</v>
      </c>
    </row>
    <row r="69" spans="1:3">
      <c r="A69" t="s">
        <v>42</v>
      </c>
      <c r="B69">
        <v>0.2</v>
      </c>
      <c r="C69">
        <v>7</v>
      </c>
    </row>
    <row r="70" spans="1:3">
      <c r="A70" t="s">
        <v>42</v>
      </c>
      <c r="B70">
        <v>0.1</v>
      </c>
      <c r="C70">
        <v>8</v>
      </c>
    </row>
    <row r="71" spans="1:3">
      <c r="A71" t="s">
        <v>42</v>
      </c>
      <c r="B71">
        <v>0.05</v>
      </c>
      <c r="C71">
        <v>9</v>
      </c>
    </row>
    <row r="72" spans="1:3">
      <c r="A72" t="s">
        <v>42</v>
      </c>
      <c r="B72">
        <v>0.02</v>
      </c>
      <c r="C72">
        <v>10</v>
      </c>
    </row>
    <row r="73" spans="1:3">
      <c r="A73" t="s">
        <v>42</v>
      </c>
      <c r="B73">
        <v>0.01</v>
      </c>
      <c r="C73">
        <v>11</v>
      </c>
    </row>
    <row r="74" spans="1:3">
      <c r="A74" t="s">
        <v>44</v>
      </c>
      <c r="B74">
        <v>50</v>
      </c>
      <c r="C74">
        <v>0</v>
      </c>
    </row>
    <row r="75" spans="1:3">
      <c r="A75" t="s">
        <v>44</v>
      </c>
      <c r="B75">
        <v>20</v>
      </c>
      <c r="C75">
        <v>1</v>
      </c>
    </row>
    <row r="76" spans="1:3">
      <c r="A76" t="s">
        <v>44</v>
      </c>
      <c r="B76">
        <v>10</v>
      </c>
      <c r="C76">
        <v>2</v>
      </c>
    </row>
    <row r="77" spans="1:3">
      <c r="A77" t="s">
        <v>44</v>
      </c>
      <c r="B77">
        <v>5</v>
      </c>
      <c r="C77">
        <v>3</v>
      </c>
    </row>
    <row r="78" spans="1:3">
      <c r="A78" t="s">
        <v>44</v>
      </c>
      <c r="B78">
        <v>2</v>
      </c>
      <c r="C78">
        <v>4</v>
      </c>
    </row>
    <row r="79" spans="1:3">
      <c r="A79" t="s">
        <v>44</v>
      </c>
      <c r="B79">
        <v>1</v>
      </c>
      <c r="C79">
        <v>5</v>
      </c>
    </row>
    <row r="80" spans="1:3">
      <c r="A80" t="s">
        <v>44</v>
      </c>
      <c r="B80">
        <v>0.5</v>
      </c>
      <c r="C80">
        <v>6</v>
      </c>
    </row>
    <row r="81" spans="1:3">
      <c r="A81" t="s">
        <v>44</v>
      </c>
      <c r="B81">
        <v>0.2</v>
      </c>
      <c r="C81">
        <v>7</v>
      </c>
    </row>
    <row r="82" spans="1:3">
      <c r="A82" t="s">
        <v>44</v>
      </c>
      <c r="B82">
        <v>0.1</v>
      </c>
      <c r="C82">
        <v>8</v>
      </c>
    </row>
    <row r="83" spans="1:3">
      <c r="A83" t="s">
        <v>44</v>
      </c>
      <c r="B83">
        <v>0.05</v>
      </c>
      <c r="C83">
        <v>9</v>
      </c>
    </row>
    <row r="84" spans="1:3">
      <c r="A84" t="s">
        <v>44</v>
      </c>
      <c r="B84">
        <v>0.02</v>
      </c>
      <c r="C84">
        <v>10</v>
      </c>
    </row>
    <row r="85" spans="1:3">
      <c r="A85" t="s">
        <v>44</v>
      </c>
      <c r="B85">
        <v>0.01</v>
      </c>
      <c r="C85">
        <v>11</v>
      </c>
    </row>
    <row r="86" spans="1:3">
      <c r="A86" t="s">
        <v>45</v>
      </c>
      <c r="B86">
        <v>50</v>
      </c>
      <c r="C86">
        <v>0</v>
      </c>
    </row>
    <row r="87" spans="1:3">
      <c r="A87" t="s">
        <v>45</v>
      </c>
      <c r="B87">
        <v>20</v>
      </c>
      <c r="C87">
        <v>1</v>
      </c>
    </row>
    <row r="88" spans="1:3">
      <c r="A88" t="s">
        <v>45</v>
      </c>
      <c r="B88">
        <v>10</v>
      </c>
      <c r="C88">
        <v>2</v>
      </c>
    </row>
    <row r="89" spans="1:3">
      <c r="A89" t="s">
        <v>45</v>
      </c>
      <c r="B89">
        <v>5</v>
      </c>
      <c r="C89">
        <v>3</v>
      </c>
    </row>
    <row r="90" spans="1:3">
      <c r="A90" t="s">
        <v>45</v>
      </c>
      <c r="B90">
        <v>2</v>
      </c>
      <c r="C90">
        <v>4</v>
      </c>
    </row>
    <row r="91" spans="1:3">
      <c r="A91" t="s">
        <v>45</v>
      </c>
      <c r="B91">
        <v>1</v>
      </c>
      <c r="C91">
        <v>5</v>
      </c>
    </row>
    <row r="92" spans="1:3">
      <c r="A92" t="s">
        <v>46</v>
      </c>
      <c r="B92">
        <v>50</v>
      </c>
      <c r="C92">
        <v>0</v>
      </c>
    </row>
    <row r="93" spans="1:3">
      <c r="A93" t="s">
        <v>46</v>
      </c>
      <c r="B93">
        <v>20</v>
      </c>
      <c r="C93">
        <v>1</v>
      </c>
    </row>
    <row r="94" spans="1:3">
      <c r="A94" t="s">
        <v>46</v>
      </c>
      <c r="B94">
        <v>10</v>
      </c>
      <c r="C94">
        <v>2</v>
      </c>
    </row>
    <row r="95" spans="1:3">
      <c r="A95" t="s">
        <v>46</v>
      </c>
      <c r="B95">
        <v>5</v>
      </c>
      <c r="C95">
        <v>3</v>
      </c>
    </row>
    <row r="96" spans="1:3">
      <c r="A96" t="s">
        <v>46</v>
      </c>
      <c r="B96">
        <v>2</v>
      </c>
      <c r="C96">
        <v>4</v>
      </c>
    </row>
    <row r="97" spans="1:3">
      <c r="A97" t="s">
        <v>46</v>
      </c>
      <c r="B97">
        <v>1</v>
      </c>
      <c r="C97">
        <v>5</v>
      </c>
    </row>
    <row r="98" spans="1:3">
      <c r="A98" t="s">
        <v>47</v>
      </c>
      <c r="B98">
        <v>50</v>
      </c>
      <c r="C98">
        <v>0</v>
      </c>
    </row>
    <row r="99" spans="1:3">
      <c r="A99" t="s">
        <v>47</v>
      </c>
      <c r="B99">
        <v>20</v>
      </c>
      <c r="C99">
        <v>1</v>
      </c>
    </row>
    <row r="100" spans="1:3">
      <c r="A100" t="s">
        <v>47</v>
      </c>
      <c r="B100">
        <v>10</v>
      </c>
      <c r="C100">
        <v>2</v>
      </c>
    </row>
    <row r="101" spans="1:3">
      <c r="A101" t="s">
        <v>47</v>
      </c>
      <c r="B101">
        <v>5</v>
      </c>
      <c r="C101">
        <v>3</v>
      </c>
    </row>
    <row r="102" spans="1:3">
      <c r="A102" t="s">
        <v>47</v>
      </c>
      <c r="B102">
        <v>2</v>
      </c>
      <c r="C102">
        <v>4</v>
      </c>
    </row>
    <row r="103" spans="1:3">
      <c r="A103" t="s">
        <v>47</v>
      </c>
      <c r="B103">
        <v>1</v>
      </c>
      <c r="C103">
        <v>5</v>
      </c>
    </row>
    <row r="104" spans="1:3">
      <c r="A104" t="s">
        <v>48</v>
      </c>
      <c r="B104">
        <v>50</v>
      </c>
      <c r="C104">
        <v>0</v>
      </c>
    </row>
    <row r="105" spans="1:3">
      <c r="A105" t="s">
        <v>48</v>
      </c>
      <c r="B105">
        <v>20</v>
      </c>
      <c r="C105">
        <v>1</v>
      </c>
    </row>
    <row r="106" spans="1:3">
      <c r="A106" t="s">
        <v>48</v>
      </c>
      <c r="B106">
        <v>10</v>
      </c>
      <c r="C106">
        <v>2</v>
      </c>
    </row>
    <row r="107" spans="1:3">
      <c r="A107" t="s">
        <v>48</v>
      </c>
      <c r="B107">
        <v>5</v>
      </c>
      <c r="C107">
        <v>3</v>
      </c>
    </row>
    <row r="108" spans="1:3">
      <c r="A108" t="s">
        <v>48</v>
      </c>
      <c r="B108">
        <v>2</v>
      </c>
      <c r="C108">
        <v>4</v>
      </c>
    </row>
    <row r="109" spans="1:3">
      <c r="A109" t="s">
        <v>48</v>
      </c>
      <c r="B109">
        <v>1</v>
      </c>
      <c r="C109">
        <v>5</v>
      </c>
    </row>
    <row r="110" spans="1:3">
      <c r="A110" t="s">
        <v>43</v>
      </c>
      <c r="B110">
        <v>1</v>
      </c>
      <c r="C110">
        <v>0</v>
      </c>
    </row>
    <row r="111" spans="1:3">
      <c r="A111" t="s">
        <v>43</v>
      </c>
      <c r="B111">
        <v>1</v>
      </c>
      <c r="C111">
        <v>1</v>
      </c>
    </row>
    <row r="112" spans="1:3">
      <c r="A112" t="s">
        <v>43</v>
      </c>
      <c r="B112">
        <v>1</v>
      </c>
      <c r="C112">
        <v>2</v>
      </c>
    </row>
    <row r="113" spans="1:3">
      <c r="A113" t="s">
        <v>43</v>
      </c>
      <c r="B113">
        <v>1</v>
      </c>
      <c r="C113">
        <v>3</v>
      </c>
    </row>
    <row r="114" spans="1:3">
      <c r="A114" t="s">
        <v>43</v>
      </c>
      <c r="B114">
        <v>1</v>
      </c>
      <c r="C114">
        <v>4</v>
      </c>
    </row>
    <row r="115" spans="1:3">
      <c r="A115" t="s">
        <v>43</v>
      </c>
      <c r="B115">
        <v>1</v>
      </c>
      <c r="C115">
        <v>5</v>
      </c>
    </row>
    <row r="116" spans="1:3">
      <c r="A116" t="s">
        <v>43</v>
      </c>
      <c r="B116">
        <v>1</v>
      </c>
      <c r="C116">
        <v>6</v>
      </c>
    </row>
    <row r="117" spans="1:3">
      <c r="A117" t="s">
        <v>43</v>
      </c>
      <c r="B117">
        <v>1</v>
      </c>
      <c r="C117">
        <v>7</v>
      </c>
    </row>
    <row r="118" spans="1:3">
      <c r="A118" t="s">
        <v>43</v>
      </c>
      <c r="B118">
        <v>1</v>
      </c>
      <c r="C118">
        <v>8</v>
      </c>
    </row>
    <row r="119" spans="1:3">
      <c r="A119" t="s">
        <v>43</v>
      </c>
      <c r="B119">
        <v>1</v>
      </c>
      <c r="C119">
        <v>9</v>
      </c>
    </row>
    <row r="120" spans="1:3">
      <c r="A120" t="s">
        <v>43</v>
      </c>
      <c r="B120">
        <v>1</v>
      </c>
      <c r="C120">
        <v>10</v>
      </c>
    </row>
    <row r="121" spans="1:3">
      <c r="A121" t="s">
        <v>43</v>
      </c>
      <c r="B121">
        <v>1</v>
      </c>
      <c r="C121">
        <v>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"/>
  <sheetViews>
    <sheetView workbookViewId="0">
      <selection activeCell="W6" sqref="W6"/>
    </sheetView>
  </sheetViews>
  <sheetFormatPr defaultColWidth="9" defaultRowHeight="13.5"/>
  <cols>
    <col min="1" max="1" width="7" customWidth="1"/>
    <col min="12" max="12" width="9.375" customWidth="1"/>
    <col min="13" max="13" width="10.375" customWidth="1"/>
    <col min="14" max="14" width="9.375" customWidth="1"/>
    <col min="15" max="15" width="10.375" customWidth="1"/>
    <col min="16" max="16" width="9.375" customWidth="1"/>
    <col min="30" max="30" width="42.625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3" t="s">
        <v>28</v>
      </c>
    </row>
    <row r="2" spans="1:29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1</v>
      </c>
      <c r="M2">
        <v>-0.2</v>
      </c>
      <c r="N2">
        <v>0.2</v>
      </c>
      <c r="O2">
        <v>-1</v>
      </c>
      <c r="P2">
        <v>1</v>
      </c>
      <c r="Q2">
        <v>0.5</v>
      </c>
      <c r="R2">
        <v>0.99999</v>
      </c>
      <c r="S2" t="s">
        <v>35</v>
      </c>
      <c r="T2">
        <v>392.52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 s="3">
        <v>1</v>
      </c>
      <c r="AC2" s="3">
        <v>1</v>
      </c>
    </row>
    <row r="3" spans="1:29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1</v>
      </c>
      <c r="M3">
        <v>-0.2</v>
      </c>
      <c r="N3">
        <v>0.2</v>
      </c>
      <c r="O3">
        <v>-1</v>
      </c>
      <c r="P3">
        <v>1</v>
      </c>
      <c r="Q3">
        <v>0.5</v>
      </c>
      <c r="R3">
        <v>0.99999</v>
      </c>
      <c r="S3" t="s">
        <v>35</v>
      </c>
      <c r="T3">
        <v>332.52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 s="3">
        <v>1</v>
      </c>
      <c r="AC3" s="3">
        <v>1</v>
      </c>
    </row>
    <row r="4" spans="1:29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1</v>
      </c>
      <c r="M4">
        <v>-0.2</v>
      </c>
      <c r="N4">
        <v>0.2</v>
      </c>
      <c r="O4">
        <v>-1</v>
      </c>
      <c r="P4">
        <v>1</v>
      </c>
      <c r="Q4">
        <v>0.5</v>
      </c>
      <c r="R4">
        <v>0.99999</v>
      </c>
      <c r="S4" t="s">
        <v>35</v>
      </c>
      <c r="T4">
        <v>259.98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 s="3">
        <v>1</v>
      </c>
      <c r="AC4" s="3">
        <v>1</v>
      </c>
    </row>
    <row r="5" spans="1:29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1</v>
      </c>
      <c r="M5">
        <v>-0.2</v>
      </c>
      <c r="N5">
        <v>0.2</v>
      </c>
      <c r="O5">
        <v>-1</v>
      </c>
      <c r="P5">
        <v>1</v>
      </c>
      <c r="Q5">
        <v>0.5</v>
      </c>
      <c r="R5">
        <v>0.99999</v>
      </c>
      <c r="S5" t="s">
        <v>35</v>
      </c>
      <c r="T5">
        <v>190.5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 s="3">
        <v>1</v>
      </c>
      <c r="AC5" s="3">
        <v>1</v>
      </c>
    </row>
    <row r="6" spans="1:29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1</v>
      </c>
      <c r="M6">
        <v>-0.2</v>
      </c>
      <c r="N6">
        <v>0.2</v>
      </c>
      <c r="O6">
        <v>-1</v>
      </c>
      <c r="P6">
        <v>1</v>
      </c>
      <c r="Q6">
        <v>0.5</v>
      </c>
      <c r="R6">
        <v>0.99999</v>
      </c>
      <c r="S6" t="s">
        <v>35</v>
      </c>
      <c r="T6">
        <v>491.52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 s="3">
        <v>1</v>
      </c>
      <c r="AC6" s="3">
        <v>1</v>
      </c>
    </row>
    <row r="7" spans="1:29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1</v>
      </c>
      <c r="M7">
        <v>-0.2</v>
      </c>
      <c r="N7">
        <v>0.2</v>
      </c>
      <c r="O7">
        <v>-1</v>
      </c>
      <c r="P7">
        <v>1</v>
      </c>
      <c r="Q7">
        <v>0.5</v>
      </c>
      <c r="R7">
        <v>0.99999</v>
      </c>
      <c r="S7" t="s">
        <v>35</v>
      </c>
      <c r="T7">
        <v>417.48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 s="3">
        <v>1</v>
      </c>
      <c r="AC7" s="3">
        <v>1</v>
      </c>
    </row>
    <row r="8" spans="1:29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1</v>
      </c>
      <c r="M8">
        <v>-0.2</v>
      </c>
      <c r="N8">
        <v>0.2</v>
      </c>
      <c r="O8">
        <v>-1</v>
      </c>
      <c r="P8">
        <v>1</v>
      </c>
      <c r="Q8">
        <v>0.5</v>
      </c>
      <c r="R8">
        <v>0.99999</v>
      </c>
      <c r="S8" t="s">
        <v>35</v>
      </c>
      <c r="T8">
        <v>445.5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 s="3">
        <v>1</v>
      </c>
      <c r="AC8" s="3">
        <v>1</v>
      </c>
    </row>
    <row r="9" spans="1:29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1</v>
      </c>
      <c r="M9">
        <v>-0.2</v>
      </c>
      <c r="N9">
        <v>0.2</v>
      </c>
      <c r="O9">
        <v>-1</v>
      </c>
      <c r="P9">
        <v>1</v>
      </c>
      <c r="Q9">
        <v>0.5</v>
      </c>
      <c r="R9">
        <v>0.99999</v>
      </c>
      <c r="S9" t="s">
        <v>35</v>
      </c>
      <c r="T9">
        <v>285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 s="3">
        <v>1</v>
      </c>
      <c r="AC9" s="3">
        <v>1</v>
      </c>
    </row>
    <row r="10" spans="1:29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1</v>
      </c>
      <c r="M10">
        <v>-0.2</v>
      </c>
      <c r="N10">
        <v>0.2</v>
      </c>
      <c r="O10">
        <v>-1</v>
      </c>
      <c r="P10">
        <v>1</v>
      </c>
      <c r="Q10">
        <v>0.5</v>
      </c>
      <c r="R10">
        <v>0.99999</v>
      </c>
      <c r="S10" t="s">
        <v>35</v>
      </c>
      <c r="T10">
        <v>354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 s="3">
        <v>1</v>
      </c>
      <c r="AC10" s="3">
        <v>1</v>
      </c>
    </row>
    <row r="11" spans="1:29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1</v>
      </c>
      <c r="M11">
        <v>-0.2</v>
      </c>
      <c r="N11">
        <v>0.2</v>
      </c>
      <c r="O11">
        <v>-1</v>
      </c>
      <c r="P11">
        <v>1</v>
      </c>
      <c r="Q11">
        <v>0.5</v>
      </c>
      <c r="R11">
        <v>0.99999</v>
      </c>
      <c r="S11" t="s">
        <v>35</v>
      </c>
      <c r="T11">
        <v>382.5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 s="3">
        <v>1</v>
      </c>
      <c r="AC11" s="3">
        <v>1</v>
      </c>
    </row>
    <row r="12" spans="1:29">
      <c r="A12" t="s">
        <v>48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1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511.98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 s="3">
        <v>1</v>
      </c>
      <c r="AC12" s="3">
        <v>1</v>
      </c>
    </row>
    <row r="13" spans="1:29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1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0.99999</v>
      </c>
      <c r="S13" t="s">
        <v>35</v>
      </c>
      <c r="T13">
        <v>469.5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 s="3">
        <v>1</v>
      </c>
      <c r="AC13" s="3">
        <v>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0" sqref="B10:B13"/>
    </sheetView>
  </sheetViews>
  <sheetFormatPr defaultColWidth="9" defaultRowHeight="13.5" outlineLevelCol="1"/>
  <cols>
    <col min="2" max="2" width="22.375" customWidth="1"/>
  </cols>
  <sheetData>
    <row r="1" spans="1:2">
      <c r="A1" s="1" t="s">
        <v>0</v>
      </c>
      <c r="B1" t="s">
        <v>51</v>
      </c>
    </row>
    <row r="2" spans="1:2">
      <c r="A2" t="s">
        <v>33</v>
      </c>
      <c r="B2">
        <v>60.05</v>
      </c>
    </row>
    <row r="3" spans="1:2">
      <c r="A3" t="s">
        <v>38</v>
      </c>
      <c r="B3">
        <v>74.08</v>
      </c>
    </row>
    <row r="4" spans="1:2">
      <c r="A4" t="s">
        <v>39</v>
      </c>
      <c r="B4">
        <v>88.11</v>
      </c>
    </row>
    <row r="5" spans="1:2">
      <c r="A5" t="s">
        <v>40</v>
      </c>
      <c r="B5">
        <v>88.11</v>
      </c>
    </row>
    <row r="6" spans="1:2">
      <c r="A6" t="s">
        <v>41</v>
      </c>
      <c r="B6">
        <v>102.13</v>
      </c>
    </row>
    <row r="7" spans="1:2">
      <c r="A7" t="s">
        <v>42</v>
      </c>
      <c r="B7">
        <v>102.13</v>
      </c>
    </row>
    <row r="8" spans="1:2">
      <c r="A8" t="s">
        <v>43</v>
      </c>
      <c r="B8" t="e">
        <v>#N/A</v>
      </c>
    </row>
    <row r="9" spans="1:2">
      <c r="A9" t="s">
        <v>44</v>
      </c>
      <c r="B9">
        <v>116.16</v>
      </c>
    </row>
    <row r="10" spans="1:2">
      <c r="A10" t="s">
        <v>45</v>
      </c>
      <c r="B10">
        <v>130.18</v>
      </c>
    </row>
    <row r="11" spans="1:2">
      <c r="A11" t="s">
        <v>46</v>
      </c>
      <c r="B11">
        <v>144.21</v>
      </c>
    </row>
    <row r="12" spans="1:2">
      <c r="A12" t="s">
        <v>47</v>
      </c>
      <c r="B12">
        <v>158.24</v>
      </c>
    </row>
    <row r="13" spans="1:2">
      <c r="A13" t="s">
        <v>48</v>
      </c>
      <c r="B13">
        <v>172.26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0.708033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357.212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0.706677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304.21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0.728061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275.333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0.791108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251.731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0.802191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501.056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0.689096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390.968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0.652147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431.96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0.688895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282.854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0.706384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318.673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0.734883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346.115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0.868173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534.408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0.795415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468.316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3"/>
  <sheetViews>
    <sheetView workbookViewId="0">
      <selection activeCell="A1" sqref="A1"/>
    </sheetView>
  </sheetViews>
  <sheetFormatPr defaultColWidth="9" defaultRowHeight="13.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43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34</v>
      </c>
      <c r="L2">
        <v>0.708033</v>
      </c>
      <c r="M2">
        <v>-0.2</v>
      </c>
      <c r="N2">
        <v>0.2</v>
      </c>
      <c r="O2">
        <v>-2</v>
      </c>
      <c r="P2">
        <v>2</v>
      </c>
      <c r="Q2">
        <v>0.5</v>
      </c>
      <c r="R2">
        <v>0.99999</v>
      </c>
      <c r="S2" t="s">
        <v>35</v>
      </c>
      <c r="T2">
        <v>357.212</v>
      </c>
      <c r="U2" t="s">
        <v>43</v>
      </c>
      <c r="V2">
        <v>1</v>
      </c>
      <c r="W2">
        <v>74</v>
      </c>
      <c r="X2">
        <v>74</v>
      </c>
      <c r="Y2">
        <v>-1</v>
      </c>
      <c r="Z2">
        <v>-1</v>
      </c>
      <c r="AA2" t="s">
        <v>37</v>
      </c>
      <c r="AB2">
        <v>1</v>
      </c>
      <c r="AC2">
        <v>1</v>
      </c>
      <c r="AD2">
        <v>120</v>
      </c>
      <c r="AE2">
        <v>3</v>
      </c>
      <c r="AF2">
        <v>0</v>
      </c>
      <c r="AG2">
        <v>1</v>
      </c>
    </row>
    <row r="3" spans="1:33">
      <c r="A3" t="s">
        <v>40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34</v>
      </c>
      <c r="L3">
        <v>0.706677</v>
      </c>
      <c r="M3">
        <v>-0.2</v>
      </c>
      <c r="N3">
        <v>0.2</v>
      </c>
      <c r="O3">
        <v>-2</v>
      </c>
      <c r="P3">
        <v>2</v>
      </c>
      <c r="Q3">
        <v>0.5</v>
      </c>
      <c r="R3">
        <v>0.99999</v>
      </c>
      <c r="S3" t="s">
        <v>35</v>
      </c>
      <c r="T3">
        <v>318.673</v>
      </c>
      <c r="U3" t="s">
        <v>36</v>
      </c>
      <c r="V3">
        <v>1</v>
      </c>
      <c r="W3">
        <v>60</v>
      </c>
      <c r="X3">
        <v>60</v>
      </c>
      <c r="Y3">
        <v>-1</v>
      </c>
      <c r="Z3">
        <v>-1</v>
      </c>
      <c r="AA3" t="s">
        <v>37</v>
      </c>
      <c r="AB3">
        <v>1</v>
      </c>
      <c r="AC3">
        <v>1</v>
      </c>
      <c r="AD3">
        <v>120</v>
      </c>
      <c r="AE3">
        <v>3</v>
      </c>
      <c r="AF3">
        <v>0</v>
      </c>
      <c r="AG3">
        <v>1</v>
      </c>
    </row>
    <row r="4" spans="1:33">
      <c r="A4" t="s">
        <v>38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34</v>
      </c>
      <c r="L4">
        <v>0.728061</v>
      </c>
      <c r="M4">
        <v>-0.2</v>
      </c>
      <c r="N4">
        <v>0.2</v>
      </c>
      <c r="O4">
        <v>-2</v>
      </c>
      <c r="P4">
        <v>2</v>
      </c>
      <c r="Q4">
        <v>0.5</v>
      </c>
      <c r="R4">
        <v>0.99999</v>
      </c>
      <c r="S4" t="s">
        <v>35</v>
      </c>
      <c r="T4">
        <v>275.333</v>
      </c>
      <c r="U4" t="s">
        <v>36</v>
      </c>
      <c r="V4">
        <v>1</v>
      </c>
      <c r="W4">
        <v>74</v>
      </c>
      <c r="X4">
        <v>74</v>
      </c>
      <c r="Y4">
        <v>-1</v>
      </c>
      <c r="Z4">
        <v>-1</v>
      </c>
      <c r="AA4" t="s">
        <v>37</v>
      </c>
      <c r="AB4">
        <v>1</v>
      </c>
      <c r="AC4">
        <v>1</v>
      </c>
      <c r="AD4">
        <v>120</v>
      </c>
      <c r="AE4">
        <v>5</v>
      </c>
      <c r="AF4">
        <v>0</v>
      </c>
      <c r="AG4">
        <v>1</v>
      </c>
    </row>
    <row r="5" spans="1:33">
      <c r="A5" t="s">
        <v>33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34</v>
      </c>
      <c r="L5">
        <v>0.791108</v>
      </c>
      <c r="M5">
        <v>-0.2</v>
      </c>
      <c r="N5">
        <v>0.5</v>
      </c>
      <c r="O5">
        <v>-2</v>
      </c>
      <c r="P5">
        <v>2</v>
      </c>
      <c r="Q5">
        <v>0.5</v>
      </c>
      <c r="R5">
        <v>0.99999</v>
      </c>
      <c r="S5" t="s">
        <v>35</v>
      </c>
      <c r="T5">
        <v>251.731</v>
      </c>
      <c r="U5" t="s">
        <v>36</v>
      </c>
      <c r="V5">
        <v>1</v>
      </c>
      <c r="W5">
        <v>43</v>
      </c>
      <c r="X5">
        <v>43</v>
      </c>
      <c r="Y5">
        <v>-1</v>
      </c>
      <c r="Z5">
        <v>-1</v>
      </c>
      <c r="AA5" t="s">
        <v>37</v>
      </c>
      <c r="AB5">
        <v>1</v>
      </c>
      <c r="AC5">
        <v>1</v>
      </c>
      <c r="AD5">
        <v>120</v>
      </c>
      <c r="AE5">
        <v>8</v>
      </c>
      <c r="AF5">
        <v>0</v>
      </c>
      <c r="AG5">
        <v>1</v>
      </c>
    </row>
    <row r="6" spans="1:33">
      <c r="A6" t="s">
        <v>47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34</v>
      </c>
      <c r="L6">
        <v>0.802191</v>
      </c>
      <c r="M6">
        <v>-0.2</v>
      </c>
      <c r="N6">
        <v>0.2</v>
      </c>
      <c r="O6">
        <v>-2</v>
      </c>
      <c r="P6">
        <v>2</v>
      </c>
      <c r="Q6">
        <v>0.5</v>
      </c>
      <c r="R6">
        <v>0.99999</v>
      </c>
      <c r="S6" t="s">
        <v>35</v>
      </c>
      <c r="T6">
        <v>501.056</v>
      </c>
      <c r="U6" t="s">
        <v>36</v>
      </c>
      <c r="V6">
        <v>1</v>
      </c>
      <c r="W6">
        <v>60</v>
      </c>
      <c r="X6">
        <v>60</v>
      </c>
      <c r="Y6">
        <v>-1</v>
      </c>
      <c r="Z6">
        <v>-1</v>
      </c>
      <c r="AA6" t="s">
        <v>37</v>
      </c>
      <c r="AB6">
        <v>1</v>
      </c>
      <c r="AC6">
        <v>1</v>
      </c>
      <c r="AD6">
        <v>120</v>
      </c>
      <c r="AE6">
        <v>3</v>
      </c>
      <c r="AF6">
        <v>0</v>
      </c>
      <c r="AG6">
        <v>1</v>
      </c>
    </row>
    <row r="7" spans="1:33">
      <c r="A7" t="s">
        <v>44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34</v>
      </c>
      <c r="L7">
        <v>0.689096</v>
      </c>
      <c r="M7">
        <v>-0.2</v>
      </c>
      <c r="N7">
        <v>0.2</v>
      </c>
      <c r="O7">
        <v>-2</v>
      </c>
      <c r="P7">
        <v>2</v>
      </c>
      <c r="Q7">
        <v>0.5</v>
      </c>
      <c r="R7">
        <v>0.99999</v>
      </c>
      <c r="S7" t="s">
        <v>35</v>
      </c>
      <c r="T7">
        <v>390.968</v>
      </c>
      <c r="U7" t="s">
        <v>36</v>
      </c>
      <c r="V7">
        <v>1</v>
      </c>
      <c r="W7">
        <v>60</v>
      </c>
      <c r="X7">
        <v>60</v>
      </c>
      <c r="Y7">
        <v>-1</v>
      </c>
      <c r="Z7">
        <v>-1</v>
      </c>
      <c r="AA7" t="s">
        <v>37</v>
      </c>
      <c r="AB7">
        <v>1</v>
      </c>
      <c r="AC7">
        <v>1</v>
      </c>
      <c r="AD7">
        <v>120</v>
      </c>
      <c r="AE7">
        <v>3</v>
      </c>
      <c r="AF7">
        <v>0</v>
      </c>
      <c r="AG7">
        <v>1</v>
      </c>
    </row>
    <row r="8" spans="1:33">
      <c r="A8" t="s">
        <v>45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34</v>
      </c>
      <c r="L8">
        <v>0.652147</v>
      </c>
      <c r="M8">
        <v>-0.2</v>
      </c>
      <c r="N8">
        <v>0.2</v>
      </c>
      <c r="O8">
        <v>-2</v>
      </c>
      <c r="P8">
        <v>2</v>
      </c>
      <c r="Q8">
        <v>0.5</v>
      </c>
      <c r="R8">
        <v>0.99999</v>
      </c>
      <c r="S8" t="s">
        <v>35</v>
      </c>
      <c r="T8">
        <v>431.96</v>
      </c>
      <c r="U8" t="s">
        <v>36</v>
      </c>
      <c r="V8">
        <v>1</v>
      </c>
      <c r="W8">
        <v>60</v>
      </c>
      <c r="X8">
        <v>60</v>
      </c>
      <c r="Y8">
        <v>-1</v>
      </c>
      <c r="Z8">
        <v>-1</v>
      </c>
      <c r="AA8" t="s">
        <v>37</v>
      </c>
      <c r="AB8">
        <v>1</v>
      </c>
      <c r="AC8">
        <v>1</v>
      </c>
      <c r="AD8">
        <v>120</v>
      </c>
      <c r="AE8">
        <v>3</v>
      </c>
      <c r="AF8">
        <v>0</v>
      </c>
      <c r="AG8">
        <v>1</v>
      </c>
    </row>
    <row r="9" spans="1:33">
      <c r="A9" t="s">
        <v>39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34</v>
      </c>
      <c r="L9">
        <v>0.688895</v>
      </c>
      <c r="M9">
        <v>-0.2</v>
      </c>
      <c r="N9">
        <v>0.2</v>
      </c>
      <c r="O9">
        <v>-2</v>
      </c>
      <c r="P9">
        <v>2</v>
      </c>
      <c r="Q9">
        <v>0.5</v>
      </c>
      <c r="R9">
        <v>0.99999</v>
      </c>
      <c r="S9" t="s">
        <v>35</v>
      </c>
      <c r="T9">
        <v>282.854</v>
      </c>
      <c r="U9" t="s">
        <v>36</v>
      </c>
      <c r="V9">
        <v>1</v>
      </c>
      <c r="W9">
        <v>43</v>
      </c>
      <c r="X9">
        <v>43</v>
      </c>
      <c r="Y9">
        <v>-1</v>
      </c>
      <c r="Z9">
        <v>-1</v>
      </c>
      <c r="AA9" t="s">
        <v>37</v>
      </c>
      <c r="AB9">
        <v>1</v>
      </c>
      <c r="AC9">
        <v>1</v>
      </c>
      <c r="AD9">
        <v>120</v>
      </c>
      <c r="AE9">
        <v>3</v>
      </c>
      <c r="AF9">
        <v>0</v>
      </c>
      <c r="AG9">
        <v>1</v>
      </c>
    </row>
    <row r="10" spans="1:33">
      <c r="A10" t="s">
        <v>41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34</v>
      </c>
      <c r="L10">
        <v>0.706384</v>
      </c>
      <c r="M10">
        <v>-0.2</v>
      </c>
      <c r="N10">
        <v>0.2</v>
      </c>
      <c r="O10">
        <v>-2</v>
      </c>
      <c r="P10">
        <v>2</v>
      </c>
      <c r="Q10">
        <v>0.5</v>
      </c>
      <c r="R10">
        <v>0.99999</v>
      </c>
      <c r="S10" t="s">
        <v>35</v>
      </c>
      <c r="T10">
        <v>318.673</v>
      </c>
      <c r="U10" t="s">
        <v>36</v>
      </c>
      <c r="V10">
        <v>1</v>
      </c>
      <c r="W10">
        <v>60</v>
      </c>
      <c r="X10">
        <v>60</v>
      </c>
      <c r="Y10">
        <v>-1</v>
      </c>
      <c r="Z10">
        <v>-1</v>
      </c>
      <c r="AA10" t="s">
        <v>37</v>
      </c>
      <c r="AB10">
        <v>1</v>
      </c>
      <c r="AC10">
        <v>1</v>
      </c>
      <c r="AD10">
        <v>120</v>
      </c>
      <c r="AE10">
        <v>3</v>
      </c>
      <c r="AF10">
        <v>0</v>
      </c>
      <c r="AG10">
        <v>1</v>
      </c>
    </row>
    <row r="11" spans="1:33">
      <c r="A11" t="s">
        <v>42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34</v>
      </c>
      <c r="L11">
        <v>0.734883</v>
      </c>
      <c r="M11">
        <v>-0.2</v>
      </c>
      <c r="N11">
        <v>0.2</v>
      </c>
      <c r="O11">
        <v>-2</v>
      </c>
      <c r="P11">
        <v>2</v>
      </c>
      <c r="Q11">
        <v>0.5</v>
      </c>
      <c r="R11">
        <v>0.99999</v>
      </c>
      <c r="S11" t="s">
        <v>35</v>
      </c>
      <c r="T11">
        <v>346.115</v>
      </c>
      <c r="U11" t="s">
        <v>36</v>
      </c>
      <c r="V11">
        <v>1</v>
      </c>
      <c r="W11">
        <v>60</v>
      </c>
      <c r="X11">
        <v>60</v>
      </c>
      <c r="Y11">
        <v>-1</v>
      </c>
      <c r="Z11">
        <v>-1</v>
      </c>
      <c r="AA11" t="s">
        <v>37</v>
      </c>
      <c r="AB11">
        <v>1</v>
      </c>
      <c r="AC11">
        <v>1</v>
      </c>
      <c r="AD11">
        <v>120</v>
      </c>
      <c r="AE11">
        <v>3</v>
      </c>
      <c r="AF11">
        <v>0</v>
      </c>
      <c r="AG11">
        <v>1</v>
      </c>
    </row>
    <row r="12" spans="1:33">
      <c r="A12" t="s">
        <v>48</v>
      </c>
      <c r="B12">
        <v>1</v>
      </c>
      <c r="C12">
        <v>5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34</v>
      </c>
      <c r="L12">
        <v>0.868173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0.99999</v>
      </c>
      <c r="S12" t="s">
        <v>35</v>
      </c>
      <c r="T12">
        <v>534.408</v>
      </c>
      <c r="U12" t="s">
        <v>36</v>
      </c>
      <c r="V12">
        <v>1</v>
      </c>
      <c r="W12">
        <v>60</v>
      </c>
      <c r="X12">
        <v>60</v>
      </c>
      <c r="Y12">
        <v>-1</v>
      </c>
      <c r="Z12">
        <v>-1</v>
      </c>
      <c r="AA12" t="s">
        <v>37</v>
      </c>
      <c r="AB12">
        <v>1</v>
      </c>
      <c r="AC12">
        <v>1</v>
      </c>
      <c r="AD12">
        <v>120</v>
      </c>
      <c r="AE12">
        <v>3</v>
      </c>
      <c r="AF12">
        <v>0</v>
      </c>
      <c r="AG12">
        <v>1</v>
      </c>
    </row>
    <row r="13" spans="1:33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34</v>
      </c>
      <c r="L13">
        <v>0.795415</v>
      </c>
      <c r="M13">
        <v>-0.2</v>
      </c>
      <c r="N13">
        <v>0.2</v>
      </c>
      <c r="O13">
        <v>-2</v>
      </c>
      <c r="P13">
        <v>2</v>
      </c>
      <c r="Q13">
        <v>0.5</v>
      </c>
      <c r="R13">
        <v>0.99999</v>
      </c>
      <c r="S13" t="s">
        <v>35</v>
      </c>
      <c r="T13">
        <v>468.316</v>
      </c>
      <c r="U13" t="s">
        <v>36</v>
      </c>
      <c r="V13">
        <v>1</v>
      </c>
      <c r="W13">
        <v>60</v>
      </c>
      <c r="X13">
        <v>60</v>
      </c>
      <c r="Y13">
        <v>-1</v>
      </c>
      <c r="Z13">
        <v>-1</v>
      </c>
      <c r="AA13" t="s">
        <v>37</v>
      </c>
      <c r="AB13">
        <v>1</v>
      </c>
      <c r="AC13">
        <v>1</v>
      </c>
      <c r="AD13">
        <v>120</v>
      </c>
      <c r="AE13">
        <v>3</v>
      </c>
      <c r="AF13">
        <v>0</v>
      </c>
      <c r="AG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Tuning@20250707-11</vt:lpstr>
      <vt:lpstr>Tuning@20250630-15</vt:lpstr>
      <vt:lpstr>Tuning@20250707-10</vt:lpstr>
      <vt:lpstr>Tuning@20250626-09</vt:lpstr>
      <vt:lpstr>Tuning@20250625-09</vt:lpstr>
      <vt:lpstr>Tuning@20250613-16</vt:lpstr>
      <vt:lpstr>Tuning@20250611-09</vt:lpstr>
      <vt:lpstr>Tuning@20250611-14</vt:lpstr>
      <vt:lpstr>Tuning@20250528-15</vt:lpstr>
      <vt:lpstr>Tuning@20250521-15</vt:lpstr>
      <vt:lpstr>Tuning@20250521-16</vt:lpstr>
      <vt:lpstr>Tuning@20250506-09</vt:lpstr>
      <vt:lpstr>Tuning@20250424-11</vt:lpstr>
      <vt:lpstr>Tuning@20250310-15</vt:lpstr>
      <vt:lpstr>levels</vt:lpstr>
      <vt:lpstr>source</vt:lpstr>
      <vt:lpstr>Mw</vt:lpstr>
      <vt:lpstr>Tuning@20250707-13</vt:lpstr>
      <vt:lpstr>Tuning@20250707-14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WPS_1662536712</cp:lastModifiedBy>
  <dcterms:created xsi:type="dcterms:W3CDTF">2023-10-17T01:16:00Z</dcterms:created>
  <dcterms:modified xsi:type="dcterms:W3CDTF">2025-07-15T08:10:19Z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